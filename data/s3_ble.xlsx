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\Documents\Norway\ikt454-5g\data\"/>
    </mc:Choice>
  </mc:AlternateContent>
  <xr:revisionPtr revIDLastSave="0" documentId="13_ncr:1_{2E34F6A8-2BC5-47E5-AECC-97A154A60CAA}" xr6:coauthVersionLast="47" xr6:coauthVersionMax="47" xr10:uidLastSave="{00000000-0000-0000-0000-000000000000}"/>
  <bookViews>
    <workbookView xWindow="-108" yWindow="-108" windowWidth="23256" windowHeight="12456" xr2:uid="{12243339-5404-4755-AB6E-D3EE1E1285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T29" i="1"/>
  <c r="V28" i="1"/>
  <c r="T28" i="1"/>
  <c r="V27" i="1"/>
  <c r="T27" i="1"/>
  <c r="V26" i="1"/>
  <c r="T26" i="1"/>
  <c r="V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O7" i="1"/>
  <c r="O6" i="1"/>
  <c r="O5" i="1"/>
  <c r="O4" i="1"/>
  <c r="O3" i="1"/>
  <c r="O2" i="1"/>
  <c r="N7" i="1"/>
  <c r="N6" i="1"/>
  <c r="N5" i="1"/>
  <c r="N4" i="1"/>
  <c r="N3" i="1"/>
  <c r="N2" i="1"/>
  <c r="M7" i="1"/>
  <c r="M6" i="1"/>
  <c r="M5" i="1"/>
  <c r="M4" i="1"/>
  <c r="M3" i="1"/>
  <c r="M2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<sst xmlns="http://schemas.openxmlformats.org/spreadsheetml/2006/main" count="113" uniqueCount="19">
  <si>
    <t>Try</t>
  </si>
  <si>
    <t>Duration (s)</t>
  </si>
  <si>
    <t>Throughput (KB/s)</t>
  </si>
  <si>
    <t>Distance (m)</t>
  </si>
  <si>
    <t>Min RTT (ms)</t>
  </si>
  <si>
    <t>Max RTT (ms)</t>
  </si>
  <si>
    <t>Average RTT (ms)</t>
  </si>
  <si>
    <t>Size (KB)</t>
  </si>
  <si>
    <t>Average Throughput (KB/s)</t>
  </si>
  <si>
    <t>Average Duration (s)</t>
  </si>
  <si>
    <t>RTT Variance (ms)</t>
  </si>
  <si>
    <t>Interference?</t>
  </si>
  <si>
    <t>File Type</t>
  </si>
  <si>
    <t>no</t>
  </si>
  <si>
    <t>TXT</t>
  </si>
  <si>
    <t>yes</t>
  </si>
  <si>
    <t>-</t>
  </si>
  <si>
    <t>BLE              &lt;=</t>
  </si>
  <si>
    <t>Classic bluetooth (txt file) with/without interference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</si>
</sst>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effectLst/>
              </a:rPr>
              <a:t>BLE Transfer Time Linearity (Synchronous Mode)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Feuil1!$C$2:$C$11</c:f>
              <c:numCache>
                <c:formatCode>General</c:formatCode>
                <c:ptCount val="10"/>
                <c:pt idx="0">
                  <c:v>1048.576</c:v>
                </c:pt>
                <c:pt idx="1">
                  <c:v>1048.576</c:v>
                </c:pt>
                <c:pt idx="2">
                  <c:v>1048.576</c:v>
                </c:pt>
                <c:pt idx="3">
                  <c:v>1048.576</c:v>
                </c:pt>
                <c:pt idx="4">
                  <c:v>1048.576</c:v>
                </c:pt>
                <c:pt idx="5">
                  <c:v>1048.576</c:v>
                </c:pt>
                <c:pt idx="6">
                  <c:v>1048.576</c:v>
                </c:pt>
                <c:pt idx="7">
                  <c:v>1048.576</c:v>
                </c:pt>
                <c:pt idx="8">
                  <c:v>1048.576</c:v>
                </c:pt>
                <c:pt idx="9">
                  <c:v>52.427999999999997</c:v>
                </c:pt>
              </c:numCache>
            </c:numRef>
          </c:xVal>
          <c:yVal>
            <c:numRef>
              <c:f>Feuil1!$D$2:$D$11</c:f>
              <c:numCache>
                <c:formatCode>General</c:formatCode>
                <c:ptCount val="10"/>
                <c:pt idx="0">
                  <c:v>1054.53</c:v>
                </c:pt>
                <c:pt idx="1">
                  <c:v>1054.56</c:v>
                </c:pt>
                <c:pt idx="2">
                  <c:v>1054.48</c:v>
                </c:pt>
                <c:pt idx="3">
                  <c:v>1054.42</c:v>
                </c:pt>
                <c:pt idx="4">
                  <c:v>1054.4100000000001</c:v>
                </c:pt>
                <c:pt idx="5">
                  <c:v>1054.47</c:v>
                </c:pt>
                <c:pt idx="6">
                  <c:v>1054.53</c:v>
                </c:pt>
                <c:pt idx="7">
                  <c:v>1054.46</c:v>
                </c:pt>
                <c:pt idx="8">
                  <c:v>1054.55</c:v>
                </c:pt>
                <c:pt idx="9">
                  <c:v>53.15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4-4B70-A29C-8D364404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804463"/>
        <c:axId val="985804943"/>
      </c:scatterChart>
      <c:valAx>
        <c:axId val="98580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File Size (KB)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04943"/>
        <c:crosses val="autoZero"/>
        <c:crossBetween val="midCat"/>
      </c:valAx>
      <c:valAx>
        <c:axId val="9858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Transfer Duration</a:t>
                </a:r>
                <a:r>
                  <a:rPr lang="fr-FR" baseline="0"/>
                  <a:t>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0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RTT for</a:t>
            </a:r>
            <a:r>
              <a:rPr lang="fr-FR" baseline="0"/>
              <a:t> Different File Size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1024KB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Feuil1!$N$4</c:f>
              <c:numCache>
                <c:formatCode>General</c:formatCode>
                <c:ptCount val="1"/>
                <c:pt idx="0">
                  <c:v>50.571333333333335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F-488B-9FB7-D1650AA25D71}"/>
            </c:ext>
          </c:extLst>
        </c:ser>
        <c:ser>
          <c:idx val="1"/>
          <c:order val="1"/>
          <c:tx>
            <c:v>50KB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Feuil1!$N$6</c:f>
              <c:numCache>
                <c:formatCode>General</c:formatCode>
                <c:ptCount val="1"/>
                <c:pt idx="0">
                  <c:v>50.580000000000005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9F-488B-9FB7-D1650AA2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07375"/>
        <c:axId val="670094895"/>
      </c:barChart>
      <c:catAx>
        <c:axId val="6701073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File</a:t>
                </a:r>
                <a:r>
                  <a:rPr lang="fr-FR" baseline="0"/>
                  <a:t> Size (KB)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crossAx val="670094895"/>
        <c:crosses val="autoZero"/>
        <c:auto val="1"/>
        <c:lblAlgn val="ctr"/>
        <c:lblOffset val="100"/>
        <c:noMultiLvlLbl val="0"/>
      </c:catAx>
      <c:valAx>
        <c:axId val="67009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RTT</a:t>
                </a:r>
                <a:r>
                  <a:rPr lang="fr-FR" baseline="0"/>
                  <a:t> (ms)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1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Throughput</a:t>
            </a:r>
            <a:r>
              <a:rPr lang="fr-FR" baseline="0"/>
              <a:t> for Different File Size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50KB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Feuil1!$M$5</c:f>
              <c:numCache>
                <c:formatCode>General</c:formatCode>
                <c:ptCount val="1"/>
                <c:pt idx="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3-4C68-A9E5-21AC35B15984}"/>
            </c:ext>
          </c:extLst>
        </c:ser>
        <c:ser>
          <c:idx val="1"/>
          <c:order val="1"/>
          <c:tx>
            <c:v>1024KB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Feuil1!$M$2</c:f>
              <c:numCache>
                <c:formatCode>General</c:formatCode>
                <c:ptCount val="1"/>
                <c:pt idx="0">
                  <c:v>0.97000000000000008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3-4C68-A9E5-21AC35B1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16495"/>
        <c:axId val="670106895"/>
      </c:barChart>
      <c:catAx>
        <c:axId val="67011649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File</a:t>
                </a:r>
                <a:r>
                  <a:rPr lang="fr-FR" baseline="0"/>
                  <a:t> Size (KB)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crossAx val="670106895"/>
        <c:crosses val="autoZero"/>
        <c:auto val="1"/>
        <c:lblAlgn val="ctr"/>
        <c:lblOffset val="100"/>
        <c:noMultiLvlLbl val="0"/>
      </c:catAx>
      <c:valAx>
        <c:axId val="6701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Throughput (KB/s)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11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Throughput Comparison between BLE and Classic Bluetooth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Throughput BLE (1024KB)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Feuil1!$M$2:$M$4</c15:sqref>
                  </c15:fullRef>
                </c:ext>
              </c:extLst>
              <c:f>Feuil1!$M$2:$M$3</c:f>
              <c:numCache>
                <c:formatCode>General</c:formatCode>
                <c:ptCount val="2"/>
                <c:pt idx="0">
                  <c:v>0.97000000000000008</c:v>
                </c:pt>
                <c:pt idx="1">
                  <c:v>0.97000000000000008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2-428E-B8D6-B533D4CE5FC4}"/>
            </c:ext>
          </c:extLst>
        </c:ser>
        <c:ser>
          <c:idx val="1"/>
          <c:order val="1"/>
          <c:tx>
            <c:v>Average Throughput BLE (50KB)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Feuil1!$M$5:$M$7</c15:sqref>
                  </c15:fullRef>
                </c:ext>
              </c:extLst>
              <c:f>Feuil1!$M$5:$M$6</c:f>
              <c:numCache>
                <c:formatCode>General</c:formatCode>
                <c:ptCount val="2"/>
                <c:pt idx="0">
                  <c:v>0.96</c:v>
                </c:pt>
                <c:pt idx="1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2-428E-B8D6-B533D4CE5FC4}"/>
            </c:ext>
          </c:extLst>
        </c:ser>
        <c:ser>
          <c:idx val="2"/>
          <c:order val="2"/>
          <c:tx>
            <c:v>Average Throughput Classic without Interference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Feuil1!$T$20:$T$21</c15:sqref>
                  </c15:fullRef>
                </c:ext>
              </c:extLst>
              <c:f>Feuil1!$T$20:$T$21</c:f>
              <c:numCache>
                <c:formatCode>General</c:formatCode>
                <c:ptCount val="2"/>
                <c:pt idx="0">
                  <c:v>156.42999999999998</c:v>
                </c:pt>
                <c:pt idx="1">
                  <c:v>150.72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2-428E-B8D6-B533D4CE5FC4}"/>
            </c:ext>
          </c:extLst>
        </c:ser>
        <c:ser>
          <c:idx val="3"/>
          <c:order val="3"/>
          <c:tx>
            <c:v>Average Throughput Classic with Interference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Feuil1!$T$25:$T$26</c15:sqref>
                  </c15:fullRef>
                </c:ext>
              </c:extLst>
              <c:f>Feuil1!$T$25:$T$26</c:f>
              <c:numCache>
                <c:formatCode>General</c:formatCode>
                <c:ptCount val="2"/>
                <c:pt idx="0">
                  <c:v>114.36333333333333</c:v>
                </c:pt>
                <c:pt idx="1">
                  <c:v>70.843333333333348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2-428E-B8D6-B533D4CE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1882751"/>
        <c:axId val="801888511"/>
      </c:barChart>
      <c:catAx>
        <c:axId val="8018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8511"/>
        <c:crosses val="autoZero"/>
        <c:auto val="1"/>
        <c:lblAlgn val="ctr"/>
        <c:lblOffset val="100"/>
        <c:noMultiLvlLbl val="0"/>
      </c:catAx>
      <c:valAx>
        <c:axId val="8018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Throughput</a:t>
                </a:r>
                <a:r>
                  <a:rPr lang="fr-FR" baseline="0"/>
                  <a:t> (KB/s)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Transfer</a:t>
            </a:r>
            <a:r>
              <a:rPr lang="fr-FR" baseline="0"/>
              <a:t> Duration</a:t>
            </a:r>
            <a:r>
              <a:rPr lang="fr-FR"/>
              <a:t> Comparison between BLE and Classic Bluetooth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Duration BLE (1024KB)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Feuil1!$L$2:$L$4</c15:sqref>
                  </c15:fullRef>
                </c:ext>
              </c:extLst>
              <c:f>Feuil1!$L$2:$L$3</c:f>
              <c:numCache>
                <c:formatCode>General</c:formatCode>
                <c:ptCount val="2"/>
                <c:pt idx="0">
                  <c:v>1054.5233333333333</c:v>
                </c:pt>
                <c:pt idx="1">
                  <c:v>1054.4333333333334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1-46B4-9972-64A4DFE60F99}"/>
            </c:ext>
          </c:extLst>
        </c:ser>
        <c:ser>
          <c:idx val="1"/>
          <c:order val="1"/>
          <c:tx>
            <c:v>Average Duration BLE (50KB)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Feuil1!$L$5:$L$7</c15:sqref>
                  </c15:fullRef>
                </c:ext>
              </c:extLst>
              <c:f>Feuil1!$L$5:$L$6</c:f>
              <c:numCache>
                <c:formatCode>General</c:formatCode>
                <c:ptCount val="2"/>
                <c:pt idx="0">
                  <c:v>53.163333333333334</c:v>
                </c:pt>
                <c:pt idx="1">
                  <c:v>53.156666666666666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1-46B4-9972-64A4DFE60F99}"/>
            </c:ext>
          </c:extLst>
        </c:ser>
        <c:ser>
          <c:idx val="2"/>
          <c:order val="2"/>
          <c:tx>
            <c:v>Average Duration Classic without Interference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Feuil1!$V$20:$V$21</c15:sqref>
                  </c15:fullRef>
                </c:ext>
              </c:extLst>
              <c:f>Feuil1!$V$20:$V$21</c:f>
              <c:numCache>
                <c:formatCode>General</c:formatCode>
                <c:ptCount val="2"/>
                <c:pt idx="0">
                  <c:v>21.033333333333331</c:v>
                </c:pt>
                <c:pt idx="1">
                  <c:v>21.83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1-46B4-9972-64A4DFE60F99}"/>
            </c:ext>
          </c:extLst>
        </c:ser>
        <c:ser>
          <c:idx val="3"/>
          <c:order val="3"/>
          <c:tx>
            <c:v>Average Duration Classic with Interference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Feuil1!$V$25:$V$26</c15:sqref>
                  </c15:fullRef>
                </c:ext>
              </c:extLst>
              <c:f>Feuil1!$V$25:$V$26</c:f>
              <c:numCache>
                <c:formatCode>General</c:formatCode>
                <c:ptCount val="2"/>
                <c:pt idx="0">
                  <c:v>28.773566666666667</c:v>
                </c:pt>
                <c:pt idx="1">
                  <c:v>46.514900000000004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E1-46B4-9972-64A4DFE60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1882751"/>
        <c:axId val="801888511"/>
      </c:barChart>
      <c:catAx>
        <c:axId val="8018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8511"/>
        <c:crosses val="autoZero"/>
        <c:auto val="1"/>
        <c:lblAlgn val="ctr"/>
        <c:lblOffset val="100"/>
        <c:noMultiLvlLbl val="0"/>
      </c:catAx>
      <c:valAx>
        <c:axId val="8018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aseline="0"/>
                  <a:t>Transfer Duration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RTT Comparison between BLE and Classic Bluetooth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RTT BLE (1024KB)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Feuil1!$N$2:$N$4</c15:sqref>
                  </c15:fullRef>
                </c:ext>
              </c:extLst>
              <c:f>Feuil1!$N$2:$N$3</c:f>
              <c:numCache>
                <c:formatCode>General</c:formatCode>
                <c:ptCount val="2"/>
                <c:pt idx="0">
                  <c:v>50.581666666666671</c:v>
                </c:pt>
                <c:pt idx="1">
                  <c:v>50.599666666666671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E-4CF6-A465-F1DAB96AC0AB}"/>
            </c:ext>
          </c:extLst>
        </c:ser>
        <c:ser>
          <c:idx val="1"/>
          <c:order val="1"/>
          <c:tx>
            <c:v>Average RTT BLE (50KB)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Feuil1!$N$5:$N$7</c15:sqref>
                  </c15:fullRef>
                </c:ext>
              </c:extLst>
              <c:f>Feuil1!$N$5:$N$6</c:f>
              <c:numCache>
                <c:formatCode>General</c:formatCode>
                <c:ptCount val="2"/>
                <c:pt idx="0">
                  <c:v>50.570333333333338</c:v>
                </c:pt>
                <c:pt idx="1">
                  <c:v>50.580000000000005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E-4CF6-A465-F1DAB96AC0AB}"/>
            </c:ext>
          </c:extLst>
        </c:ser>
        <c:ser>
          <c:idx val="2"/>
          <c:order val="2"/>
          <c:tx>
            <c:v>Average RTT Classic without Interference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(Feuil1!$K$2,Feuil1!$K$4)</c15:sqref>
                  </c15:fullRef>
                </c:ext>
              </c:extLst>
              <c:f>(Feuil1!$K$2,Feuil1!$K$4)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Feuil1!$U$20:$U$21</c15:sqref>
                  </c15:fullRef>
                </c:ext>
              </c:extLst>
              <c:f>Feuil1!$U$20:$U$21</c:f>
              <c:numCache>
                <c:formatCode>General</c:formatCode>
                <c:ptCount val="2"/>
                <c:pt idx="0">
                  <c:v>13.648666666666665</c:v>
                </c:pt>
                <c:pt idx="1">
                  <c:v>14.311999999999999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DE-4CF6-A465-F1DAB96AC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1882751"/>
        <c:axId val="801888511"/>
      </c:barChart>
      <c:catAx>
        <c:axId val="8018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8511"/>
        <c:crosses val="autoZero"/>
        <c:auto val="1"/>
        <c:lblAlgn val="ctr"/>
        <c:lblOffset val="100"/>
        <c:noMultiLvlLbl val="0"/>
      </c:catAx>
      <c:valAx>
        <c:axId val="8018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RTT</a:t>
                </a:r>
                <a:r>
                  <a:rPr lang="fr-FR" baseline="0"/>
                  <a:t> (ms)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8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Transfer Duration</a:t>
            </a:r>
            <a:r>
              <a:rPr lang="fr-FR" baseline="0"/>
              <a:t> for Different File Size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50KB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Feuil1!$L$6</c:f>
              <c:numCache>
                <c:formatCode>General</c:formatCode>
                <c:ptCount val="1"/>
                <c:pt idx="0">
                  <c:v>53.156666666666666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4-4C61-840E-489648FE4462}"/>
            </c:ext>
          </c:extLst>
        </c:ser>
        <c:ser>
          <c:idx val="1"/>
          <c:order val="1"/>
          <c:tx>
            <c:v>1024KB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Feuil1!$L$4</c:f>
              <c:numCache>
                <c:formatCode>General</c:formatCode>
                <c:ptCount val="1"/>
                <c:pt idx="0">
                  <c:v>1054.5133333333333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4-4C61-840E-489648FE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16495"/>
        <c:axId val="670106895"/>
      </c:barChart>
      <c:catAx>
        <c:axId val="67011649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File</a:t>
                </a:r>
                <a:r>
                  <a:rPr lang="fr-FR" baseline="0"/>
                  <a:t> Size (KB)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crossAx val="670106895"/>
        <c:crosses val="autoZero"/>
        <c:auto val="1"/>
        <c:lblAlgn val="ctr"/>
        <c:lblOffset val="100"/>
        <c:noMultiLvlLbl val="0"/>
      </c:catAx>
      <c:valAx>
        <c:axId val="6701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Transfer Duration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11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435895</xdr:colOff>
      <xdr:row>24</xdr:row>
      <xdr:rowOff>3033</xdr:rowOff>
    </xdr:from>
    <xdr:to>
      <xdr:col>7</xdr:col>
      <xdr:colOff>580675</xdr:colOff>
      <xdr:row>41</xdr:row>
      <xdr:rowOff>116478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B659053-D6C8-DB8C-6423-4DB934C40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704900</xdr:colOff>
      <xdr:row>45</xdr:row>
      <xdr:rowOff>177882</xdr:rowOff>
    </xdr:from>
    <xdr:to>
      <xdr:col>8</xdr:col>
      <xdr:colOff>94211</xdr:colOff>
      <xdr:row>62</xdr:row>
      <xdr:rowOff>166452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253DAA1-B6D5-567B-C652-E2E4314E8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68976</xdr:colOff>
      <xdr:row>66</xdr:row>
      <xdr:rowOff>37705</xdr:rowOff>
    </xdr:from>
    <xdr:to>
      <xdr:col>8</xdr:col>
      <xdr:colOff>5839</xdr:colOff>
      <xdr:row>83</xdr:row>
      <xdr:rowOff>186294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EAAC54B-EF0C-18CE-7DF8-F0D0530CC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225490</xdr:colOff>
      <xdr:row>31</xdr:row>
      <xdr:rowOff>8552</xdr:rowOff>
    </xdr:from>
    <xdr:to>
      <xdr:col>24</xdr:col>
      <xdr:colOff>62205</xdr:colOff>
      <xdr:row>51</xdr:row>
      <xdr:rowOff>23326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0DCB541-A397-3CF8-AD03-AE5C4A953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108857</xdr:colOff>
      <xdr:row>52</xdr:row>
      <xdr:rowOff>116632</xdr:rowOff>
    </xdr:from>
    <xdr:to>
      <xdr:col>23</xdr:col>
      <xdr:colOff>738674</xdr:colOff>
      <xdr:row>72</xdr:row>
      <xdr:rowOff>131406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82BEC56-A6CC-41CC-9C04-4B3CC317B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7775</xdr:colOff>
      <xdr:row>73</xdr:row>
      <xdr:rowOff>69979</xdr:rowOff>
    </xdr:from>
    <xdr:to>
      <xdr:col>23</xdr:col>
      <xdr:colOff>637592</xdr:colOff>
      <xdr:row>93</xdr:row>
      <xdr:rowOff>84753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4B8304E-B5F2-48E6-A4EA-73A26DF73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69273</xdr:colOff>
      <xdr:row>86</xdr:row>
      <xdr:rowOff>51955</xdr:rowOff>
    </xdr:from>
    <xdr:to>
      <xdr:col>9</xdr:col>
      <xdr:colOff>6136</xdr:colOff>
      <xdr:row>104</xdr:row>
      <xdr:rowOff>10044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45E083C-773C-45C8-B787-57BC256A7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F2DA-8513-4D25-85B5-5D8527E624F9}">
  <dimension ref="A1:AI31"/>
  <sheetViews>
    <sheetView tabSelected="1" zoomScaleNormal="100" workbookViewId="0">
      <selection activeCell="J81" sqref="J81"/>
    </sheetView>
  </sheetViews>
  <sheetFormatPr baseColWidth="10" defaultRowHeight="14.4" x14ac:dyDescent="0.3"/>
  <cols>
    <col min="6" max="6" width="15.109375" customWidth="1"/>
    <col min="13" max="13" width="11.44140625" customWidth="1"/>
    <col min="17" max="17" width="12.6640625" customWidth="1"/>
  </cols>
  <sheetData>
    <row r="1" spans="1:35" ht="87" thickBot="1" x14ac:dyDescent="0.35">
      <c r="A1" s="1" t="s">
        <v>3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6</v>
      </c>
      <c r="G1" s="2" t="s">
        <v>4</v>
      </c>
      <c r="H1" s="2" t="s">
        <v>5</v>
      </c>
      <c r="J1" s="1" t="s">
        <v>7</v>
      </c>
      <c r="K1" s="1" t="s">
        <v>3</v>
      </c>
      <c r="L1" s="1" t="s">
        <v>9</v>
      </c>
      <c r="M1" s="1" t="s">
        <v>8</v>
      </c>
      <c r="N1" s="6" t="s">
        <v>6</v>
      </c>
      <c r="O1" s="6" t="s">
        <v>10</v>
      </c>
      <c r="P1" s="14" t="s">
        <v>17</v>
      </c>
      <c r="Q1" s="13" t="s">
        <v>18</v>
      </c>
      <c r="R1" s="8" t="s">
        <v>3</v>
      </c>
      <c r="S1" s="8" t="s">
        <v>0</v>
      </c>
      <c r="T1" s="8" t="s">
        <v>11</v>
      </c>
      <c r="U1" s="8" t="s">
        <v>6</v>
      </c>
      <c r="V1" s="8" t="s">
        <v>4</v>
      </c>
      <c r="W1" s="8" t="s">
        <v>5</v>
      </c>
      <c r="X1" s="8" t="s">
        <v>7</v>
      </c>
      <c r="Y1" s="8" t="s">
        <v>12</v>
      </c>
      <c r="Z1" s="8" t="s">
        <v>1</v>
      </c>
      <c r="AA1" s="8" t="s">
        <v>2</v>
      </c>
      <c r="AC1" s="8" t="s">
        <v>3</v>
      </c>
      <c r="AD1" s="8" t="s">
        <v>0</v>
      </c>
      <c r="AE1" s="8" t="s">
        <v>11</v>
      </c>
      <c r="AF1" s="8" t="s">
        <v>7</v>
      </c>
      <c r="AG1" s="8" t="s">
        <v>12</v>
      </c>
      <c r="AH1" s="9" t="s">
        <v>1</v>
      </c>
      <c r="AI1" s="8" t="s">
        <v>2</v>
      </c>
    </row>
    <row r="2" spans="1:35" ht="15" thickBot="1" x14ac:dyDescent="0.35">
      <c r="A2" s="3">
        <v>1</v>
      </c>
      <c r="B2" s="4">
        <v>1</v>
      </c>
      <c r="C2" s="4">
        <v>1048.576</v>
      </c>
      <c r="D2" s="1">
        <v>1054.53</v>
      </c>
      <c r="E2" s="4">
        <v>0.97</v>
      </c>
      <c r="F2" s="2">
        <v>50.567</v>
      </c>
      <c r="G2" s="1">
        <v>50.45</v>
      </c>
      <c r="H2" s="4">
        <v>50.737000000000002</v>
      </c>
      <c r="J2" s="4">
        <v>1048.576</v>
      </c>
      <c r="K2" s="4">
        <v>1</v>
      </c>
      <c r="L2">
        <f>AVERAGE(D2:D4)</f>
        <v>1054.5233333333333</v>
      </c>
      <c r="M2">
        <f>AVERAGE(E2:E4)</f>
        <v>0.97000000000000008</v>
      </c>
      <c r="N2">
        <f>AVERAGE(F2:F4)</f>
        <v>50.581666666666671</v>
      </c>
      <c r="O2">
        <f>AVERAGE(H2:H4)-AVERAGE(G2:G4)</f>
        <v>0.92633333333333212</v>
      </c>
      <c r="R2" s="8">
        <v>1</v>
      </c>
      <c r="S2" s="8">
        <v>1</v>
      </c>
      <c r="T2" s="8" t="s">
        <v>13</v>
      </c>
      <c r="U2" s="8">
        <v>15.413</v>
      </c>
      <c r="V2" s="8">
        <v>3.6880000000000002</v>
      </c>
      <c r="W2" s="8">
        <v>39.872</v>
      </c>
      <c r="X2" s="8">
        <v>3369.2469999999998</v>
      </c>
      <c r="Y2" s="8" t="s">
        <v>14</v>
      </c>
      <c r="Z2" s="8">
        <v>21.02</v>
      </c>
      <c r="AA2" s="8">
        <v>156.53</v>
      </c>
      <c r="AC2" s="8">
        <v>1</v>
      </c>
      <c r="AD2" s="8">
        <v>1</v>
      </c>
      <c r="AE2" s="8" t="s">
        <v>15</v>
      </c>
      <c r="AF2" s="10">
        <v>3369.2469999999998</v>
      </c>
      <c r="AG2" s="8" t="s">
        <v>14</v>
      </c>
      <c r="AH2" s="10">
        <v>28.3276</v>
      </c>
      <c r="AI2" s="10">
        <v>116.15</v>
      </c>
    </row>
    <row r="3" spans="1:35" ht="15" thickBot="1" x14ac:dyDescent="0.35">
      <c r="A3" s="3">
        <v>1</v>
      </c>
      <c r="B3" s="4">
        <v>2</v>
      </c>
      <c r="C3" s="4">
        <v>1048.576</v>
      </c>
      <c r="D3" s="1">
        <v>1054.56</v>
      </c>
      <c r="E3" s="4">
        <v>0.97</v>
      </c>
      <c r="F3" s="1">
        <v>50.612000000000002</v>
      </c>
      <c r="G3" s="1">
        <v>50.451999999999998</v>
      </c>
      <c r="H3" s="4">
        <v>52.115000000000002</v>
      </c>
      <c r="J3" s="4">
        <v>1048.576</v>
      </c>
      <c r="K3" s="4">
        <v>2</v>
      </c>
      <c r="L3">
        <f>AVERAGE(D5:D7)</f>
        <v>1054.4333333333334</v>
      </c>
      <c r="M3">
        <f>AVERAGE(E5:E7)</f>
        <v>0.97000000000000008</v>
      </c>
      <c r="N3">
        <f>AVERAGE(F5:F7)</f>
        <v>50.599666666666671</v>
      </c>
      <c r="O3">
        <f>AVERAGE(H5:H7)-AVERAGE(G5:G7)</f>
        <v>1.3486666666666665</v>
      </c>
      <c r="R3" s="8">
        <v>1</v>
      </c>
      <c r="S3" s="8">
        <v>2</v>
      </c>
      <c r="T3" s="8" t="s">
        <v>13</v>
      </c>
      <c r="U3" s="8">
        <v>11.146000000000001</v>
      </c>
      <c r="V3" s="8">
        <v>3.589</v>
      </c>
      <c r="W3" s="8">
        <v>39.936999999999998</v>
      </c>
      <c r="X3" s="8">
        <v>3369.2469999999998</v>
      </c>
      <c r="Y3" s="8" t="s">
        <v>14</v>
      </c>
      <c r="Z3" s="8">
        <v>21</v>
      </c>
      <c r="AA3" s="8">
        <v>156.66999999999999</v>
      </c>
      <c r="AC3" s="8">
        <v>1</v>
      </c>
      <c r="AD3" s="8">
        <v>2</v>
      </c>
      <c r="AE3" s="8" t="s">
        <v>15</v>
      </c>
      <c r="AF3" s="10">
        <v>3369.2469999999998</v>
      </c>
      <c r="AG3" s="8" t="s">
        <v>14</v>
      </c>
      <c r="AH3" s="8">
        <v>29.136900000000001</v>
      </c>
      <c r="AI3" s="8">
        <v>112.92</v>
      </c>
    </row>
    <row r="4" spans="1:35" ht="15" thickBot="1" x14ac:dyDescent="0.35">
      <c r="A4" s="3">
        <v>1</v>
      </c>
      <c r="B4" s="4">
        <v>3</v>
      </c>
      <c r="C4" s="4">
        <v>1048.576</v>
      </c>
      <c r="D4" s="1">
        <v>1054.48</v>
      </c>
      <c r="E4" s="4">
        <v>0.97</v>
      </c>
      <c r="F4" s="1">
        <v>50.566000000000003</v>
      </c>
      <c r="G4" s="1">
        <v>50.442999999999998</v>
      </c>
      <c r="H4" s="4">
        <v>51.271999999999998</v>
      </c>
      <c r="J4" s="4">
        <v>1048.576</v>
      </c>
      <c r="K4" s="4">
        <v>3</v>
      </c>
      <c r="L4">
        <f>AVERAGE(D8:D10)</f>
        <v>1054.5133333333333</v>
      </c>
      <c r="M4">
        <f>AVERAGE(E8:E10)</f>
        <v>0.97000000000000008</v>
      </c>
      <c r="N4">
        <f>AVERAGE(F8:F10)</f>
        <v>50.571333333333335</v>
      </c>
      <c r="O4">
        <f>AVERAGE(H8:H10)-AVERAGE(G8:G10)</f>
        <v>0.28066666666666151</v>
      </c>
      <c r="R4" s="8">
        <v>1</v>
      </c>
      <c r="S4" s="8">
        <v>3</v>
      </c>
      <c r="T4" s="8" t="s">
        <v>13</v>
      </c>
      <c r="U4" s="8">
        <v>14.387</v>
      </c>
      <c r="V4" s="8">
        <v>3.6040000000000001</v>
      </c>
      <c r="W4" s="8">
        <v>37.350999999999999</v>
      </c>
      <c r="X4" s="8">
        <v>3369.2469999999998</v>
      </c>
      <c r="Y4" s="8" t="s">
        <v>14</v>
      </c>
      <c r="Z4" s="8">
        <v>21.08</v>
      </c>
      <c r="AA4" s="8">
        <v>156.09</v>
      </c>
      <c r="AC4" s="8">
        <v>1</v>
      </c>
      <c r="AD4" s="8">
        <v>3</v>
      </c>
      <c r="AE4" s="8" t="s">
        <v>15</v>
      </c>
      <c r="AF4" s="10">
        <v>3369.2469999999998</v>
      </c>
      <c r="AG4" s="8" t="s">
        <v>14</v>
      </c>
      <c r="AH4" s="8">
        <v>28.856200000000001</v>
      </c>
      <c r="AI4" s="8">
        <v>114.02</v>
      </c>
    </row>
    <row r="5" spans="1:35" ht="15" thickBot="1" x14ac:dyDescent="0.35">
      <c r="A5" s="3">
        <v>2</v>
      </c>
      <c r="B5" s="4">
        <v>1</v>
      </c>
      <c r="C5" s="4">
        <v>1048.576</v>
      </c>
      <c r="D5" s="1">
        <v>1054.42</v>
      </c>
      <c r="E5" s="4">
        <v>0.97</v>
      </c>
      <c r="F5" s="1">
        <v>50.607999999999997</v>
      </c>
      <c r="G5" s="1">
        <v>50.433999999999997</v>
      </c>
      <c r="H5" s="4">
        <v>52.250999999999998</v>
      </c>
      <c r="J5" s="4">
        <v>52.427999999999997</v>
      </c>
      <c r="K5" s="4">
        <v>1</v>
      </c>
      <c r="L5">
        <f>AVERAGE(D11:D13)</f>
        <v>53.163333333333334</v>
      </c>
      <c r="M5">
        <f>AVERAGE(E11:E13)</f>
        <v>0.96</v>
      </c>
      <c r="N5">
        <f>AVERAGE(F11:F13)</f>
        <v>50.570333333333338</v>
      </c>
      <c r="O5">
        <f>AVERAGE(H11:H13)-AVERAGE(G11:G13)</f>
        <v>0.33033333333332848</v>
      </c>
      <c r="R5" s="8">
        <v>3</v>
      </c>
      <c r="S5" s="8">
        <v>1</v>
      </c>
      <c r="T5" s="8" t="s">
        <v>13</v>
      </c>
      <c r="U5" s="8">
        <v>15.225</v>
      </c>
      <c r="V5" s="8">
        <v>3.6850000000000001</v>
      </c>
      <c r="W5" s="8">
        <v>48.85</v>
      </c>
      <c r="X5" s="8">
        <v>3369.2469999999998</v>
      </c>
      <c r="Y5" s="8" t="s">
        <v>14</v>
      </c>
      <c r="Z5" s="8">
        <v>21.77</v>
      </c>
      <c r="AA5" s="8">
        <v>151.1</v>
      </c>
      <c r="AC5" s="8">
        <v>3</v>
      </c>
      <c r="AD5" s="8">
        <v>1</v>
      </c>
      <c r="AE5" s="8" t="s">
        <v>15</v>
      </c>
      <c r="AF5" s="10">
        <v>3369.2469999999998</v>
      </c>
      <c r="AG5" s="8" t="s">
        <v>14</v>
      </c>
      <c r="AH5" s="8">
        <v>45.396999999999998</v>
      </c>
      <c r="AI5" s="8">
        <v>72.48</v>
      </c>
    </row>
    <row r="6" spans="1:35" ht="15" thickBot="1" x14ac:dyDescent="0.35">
      <c r="A6" s="3">
        <v>2</v>
      </c>
      <c r="B6" s="4">
        <v>2</v>
      </c>
      <c r="C6" s="4">
        <v>1048.576</v>
      </c>
      <c r="D6" s="1">
        <v>1054.4100000000001</v>
      </c>
      <c r="E6" s="4">
        <v>0.97</v>
      </c>
      <c r="F6" s="1">
        <v>50.584000000000003</v>
      </c>
      <c r="G6" s="1">
        <v>50.433999999999997</v>
      </c>
      <c r="H6" s="4">
        <v>51.05</v>
      </c>
      <c r="J6" s="4">
        <v>52.427999999999997</v>
      </c>
      <c r="K6" s="4">
        <v>2</v>
      </c>
      <c r="L6">
        <f>AVERAGE(D14:D16)</f>
        <v>53.156666666666666</v>
      </c>
      <c r="M6">
        <f>AVERAGE(E14:E16)</f>
        <v>0.96</v>
      </c>
      <c r="N6">
        <f>AVERAGE(F14:F16)</f>
        <v>50.580000000000005</v>
      </c>
      <c r="O6">
        <f>AVERAGE(H14:H16)-AVERAGE(G14:G16)</f>
        <v>0.30166666666666941</v>
      </c>
      <c r="R6" s="8">
        <v>3</v>
      </c>
      <c r="S6" s="8">
        <v>2</v>
      </c>
      <c r="T6" s="8" t="s">
        <v>13</v>
      </c>
      <c r="U6" s="8">
        <v>13.773999999999999</v>
      </c>
      <c r="V6" s="8">
        <v>3.6240000000000001</v>
      </c>
      <c r="W6" s="8">
        <v>31.1</v>
      </c>
      <c r="X6" s="8">
        <v>3369.2469999999998</v>
      </c>
      <c r="Y6" s="8" t="s">
        <v>14</v>
      </c>
      <c r="Z6" s="8">
        <v>21.89</v>
      </c>
      <c r="AA6" s="8">
        <v>150.34</v>
      </c>
      <c r="AC6" s="8">
        <v>3</v>
      </c>
      <c r="AD6" s="8">
        <v>2</v>
      </c>
      <c r="AE6" s="8" t="s">
        <v>15</v>
      </c>
      <c r="AF6" s="10">
        <v>3369.2469999999998</v>
      </c>
      <c r="AG6" s="8" t="s">
        <v>14</v>
      </c>
      <c r="AH6" s="8">
        <v>49.099499999999999</v>
      </c>
      <c r="AI6" s="8">
        <v>67.010000000000005</v>
      </c>
    </row>
    <row r="7" spans="1:35" ht="15" thickBot="1" x14ac:dyDescent="0.35">
      <c r="A7" s="3">
        <v>2</v>
      </c>
      <c r="B7" s="4">
        <v>3</v>
      </c>
      <c r="C7" s="4">
        <v>1048.576</v>
      </c>
      <c r="D7" s="1">
        <v>1054.47</v>
      </c>
      <c r="E7" s="4">
        <v>0.97</v>
      </c>
      <c r="F7" s="1">
        <v>50.606999999999999</v>
      </c>
      <c r="G7" s="1">
        <v>50.445999999999998</v>
      </c>
      <c r="H7" s="4">
        <v>52.058999999999997</v>
      </c>
      <c r="J7" s="4">
        <v>52.427999999999997</v>
      </c>
      <c r="K7" s="4">
        <v>3</v>
      </c>
      <c r="L7">
        <f>AVERAGE(D17:D19)</f>
        <v>53.15</v>
      </c>
      <c r="M7">
        <f>AVERAGE(E17:E19)</f>
        <v>0.96</v>
      </c>
      <c r="N7">
        <f>AVERAGE(F17:F19)</f>
        <v>50.557999999999993</v>
      </c>
      <c r="O7">
        <f>AVERAGE(H17:H19)-AVERAGE(G17:G19)</f>
        <v>0.52833333333332888</v>
      </c>
      <c r="R7" s="8">
        <v>3</v>
      </c>
      <c r="S7" s="8">
        <v>3</v>
      </c>
      <c r="T7" s="8" t="s">
        <v>13</v>
      </c>
      <c r="U7" s="8">
        <v>13.936999999999999</v>
      </c>
      <c r="V7" s="8">
        <v>3.605</v>
      </c>
      <c r="W7" s="8">
        <v>39.938000000000002</v>
      </c>
      <c r="X7" s="8">
        <v>3369.2469999999998</v>
      </c>
      <c r="Y7" s="8" t="s">
        <v>14</v>
      </c>
      <c r="Z7" s="8">
        <v>21.83</v>
      </c>
      <c r="AA7" s="8">
        <v>150.72</v>
      </c>
      <c r="AC7" s="8">
        <v>3</v>
      </c>
      <c r="AD7" s="8">
        <v>3</v>
      </c>
      <c r="AE7" s="8" t="s">
        <v>15</v>
      </c>
      <c r="AF7" s="10">
        <v>3369.2469999999998</v>
      </c>
      <c r="AG7" s="8" t="s">
        <v>14</v>
      </c>
      <c r="AH7" s="8">
        <v>45.048200000000001</v>
      </c>
      <c r="AI7" s="8">
        <v>73.040000000000006</v>
      </c>
    </row>
    <row r="8" spans="1:35" ht="15" thickBot="1" x14ac:dyDescent="0.35">
      <c r="A8" s="3">
        <v>3</v>
      </c>
      <c r="B8" s="4">
        <v>1</v>
      </c>
      <c r="C8" s="4">
        <v>1048.576</v>
      </c>
      <c r="D8" s="1">
        <v>1054.53</v>
      </c>
      <c r="E8" s="4">
        <v>0.97</v>
      </c>
      <c r="F8" s="1">
        <v>50.561999999999998</v>
      </c>
      <c r="G8" s="1">
        <v>50.451000000000001</v>
      </c>
      <c r="H8" s="1">
        <v>50.77</v>
      </c>
      <c r="R8" s="8">
        <v>5</v>
      </c>
      <c r="S8" s="8">
        <v>1</v>
      </c>
      <c r="T8" s="8" t="s">
        <v>13</v>
      </c>
      <c r="U8" s="8">
        <v>14.372</v>
      </c>
      <c r="V8" s="8">
        <v>3.6030000000000002</v>
      </c>
      <c r="W8" s="8">
        <v>54.854999999999997</v>
      </c>
      <c r="X8" s="8">
        <v>3369.2469999999998</v>
      </c>
      <c r="Y8" s="8" t="s">
        <v>14</v>
      </c>
      <c r="Z8" s="8">
        <v>21.39</v>
      </c>
      <c r="AA8" s="8">
        <v>153.83000000000001</v>
      </c>
      <c r="AC8" s="8">
        <v>5</v>
      </c>
      <c r="AD8" s="8">
        <v>1</v>
      </c>
      <c r="AE8" s="8" t="s">
        <v>15</v>
      </c>
      <c r="AF8" s="10">
        <v>3369.2469999999998</v>
      </c>
      <c r="AG8" s="8" t="s">
        <v>14</v>
      </c>
      <c r="AH8" s="8">
        <v>56.920499999999997</v>
      </c>
      <c r="AI8" s="8">
        <v>57.8</v>
      </c>
    </row>
    <row r="9" spans="1:35" ht="15" thickBot="1" x14ac:dyDescent="0.35">
      <c r="A9" s="3">
        <v>3</v>
      </c>
      <c r="B9" s="4">
        <v>2</v>
      </c>
      <c r="C9" s="4">
        <v>1048.576</v>
      </c>
      <c r="D9" s="1">
        <v>1054.46</v>
      </c>
      <c r="E9" s="4">
        <v>0.97</v>
      </c>
      <c r="F9" s="1">
        <v>50.564999999999998</v>
      </c>
      <c r="G9" s="1">
        <v>50.439</v>
      </c>
      <c r="H9" s="1">
        <v>50.668999999999997</v>
      </c>
      <c r="R9" s="8">
        <v>5</v>
      </c>
      <c r="S9" s="8">
        <v>2</v>
      </c>
      <c r="T9" s="8" t="s">
        <v>13</v>
      </c>
      <c r="U9" s="8">
        <v>13.145</v>
      </c>
      <c r="V9" s="8">
        <v>3.6040000000000001</v>
      </c>
      <c r="W9" s="8">
        <v>61.097000000000001</v>
      </c>
      <c r="X9" s="8">
        <v>3369.2469999999998</v>
      </c>
      <c r="Y9" s="8" t="s">
        <v>14</v>
      </c>
      <c r="Z9" s="8">
        <v>21.37</v>
      </c>
      <c r="AA9" s="8">
        <v>154</v>
      </c>
      <c r="AC9" s="8">
        <v>5</v>
      </c>
      <c r="AD9" s="8">
        <v>2</v>
      </c>
      <c r="AE9" s="8" t="s">
        <v>15</v>
      </c>
      <c r="AF9" s="10">
        <v>3369.2469999999998</v>
      </c>
      <c r="AG9" s="8" t="s">
        <v>14</v>
      </c>
      <c r="AH9" s="8">
        <v>46.59</v>
      </c>
      <c r="AI9" s="8">
        <v>70.62</v>
      </c>
    </row>
    <row r="10" spans="1:35" ht="15" thickBot="1" x14ac:dyDescent="0.35">
      <c r="A10" s="3">
        <v>3</v>
      </c>
      <c r="B10" s="4">
        <v>3</v>
      </c>
      <c r="C10" s="4">
        <v>1048.576</v>
      </c>
      <c r="D10" s="1">
        <v>1054.55</v>
      </c>
      <c r="E10" s="4">
        <v>0.97</v>
      </c>
      <c r="F10" s="1">
        <v>50.587000000000003</v>
      </c>
      <c r="G10" s="1">
        <v>50.454000000000001</v>
      </c>
      <c r="H10" s="1">
        <v>50.747</v>
      </c>
      <c r="R10" s="8">
        <v>5</v>
      </c>
      <c r="S10" s="8">
        <v>3</v>
      </c>
      <c r="T10" s="8" t="s">
        <v>13</v>
      </c>
      <c r="U10" s="8">
        <v>11.343</v>
      </c>
      <c r="V10" s="8">
        <v>3.605</v>
      </c>
      <c r="W10" s="8">
        <v>31.103000000000002</v>
      </c>
      <c r="X10" s="8">
        <v>3369.2469999999998</v>
      </c>
      <c r="Y10" s="8" t="s">
        <v>14</v>
      </c>
      <c r="Z10" s="8">
        <v>21.39</v>
      </c>
      <c r="AA10" s="8">
        <v>153.85</v>
      </c>
      <c r="AC10" s="8">
        <v>5</v>
      </c>
      <c r="AD10" s="8">
        <v>3</v>
      </c>
      <c r="AE10" s="8" t="s">
        <v>15</v>
      </c>
      <c r="AF10" s="10">
        <v>3369.2469999999998</v>
      </c>
      <c r="AG10" s="8" t="s">
        <v>14</v>
      </c>
      <c r="AH10" s="8">
        <v>59.277999999999999</v>
      </c>
      <c r="AI10" s="8">
        <v>55.51</v>
      </c>
    </row>
    <row r="11" spans="1:35" ht="15" thickBot="1" x14ac:dyDescent="0.35">
      <c r="A11" s="4">
        <v>1</v>
      </c>
      <c r="B11" s="4">
        <v>1</v>
      </c>
      <c r="C11" s="4">
        <v>52.427999999999997</v>
      </c>
      <c r="D11" s="1">
        <v>53.15</v>
      </c>
      <c r="E11" s="1">
        <v>0.96</v>
      </c>
      <c r="F11" s="1">
        <v>50.576000000000001</v>
      </c>
      <c r="G11" s="1">
        <v>50.44</v>
      </c>
      <c r="H11" s="1">
        <v>50.8</v>
      </c>
      <c r="K11" s="5"/>
      <c r="R11" s="8">
        <v>7</v>
      </c>
      <c r="S11" s="8">
        <v>1</v>
      </c>
      <c r="T11" s="8" t="s">
        <v>13</v>
      </c>
      <c r="U11" s="8">
        <v>8.2550000000000008</v>
      </c>
      <c r="V11" s="8">
        <v>3.5790000000000002</v>
      </c>
      <c r="W11" s="8">
        <v>39.847000000000001</v>
      </c>
      <c r="X11" s="8">
        <v>3369.2469999999998</v>
      </c>
      <c r="Y11" s="8" t="s">
        <v>14</v>
      </c>
      <c r="Z11" s="8">
        <v>22.96</v>
      </c>
      <c r="AA11" s="8">
        <v>143.29</v>
      </c>
      <c r="AC11" s="8">
        <v>7</v>
      </c>
      <c r="AD11" s="8">
        <v>1</v>
      </c>
      <c r="AE11" s="8" t="s">
        <v>15</v>
      </c>
      <c r="AF11" s="10">
        <v>3369.2469999999998</v>
      </c>
      <c r="AG11" s="8" t="s">
        <v>14</v>
      </c>
      <c r="AH11" s="8">
        <v>42.489600000000003</v>
      </c>
      <c r="AI11" s="8">
        <v>77.44</v>
      </c>
    </row>
    <row r="12" spans="1:35" ht="15" thickBot="1" x14ac:dyDescent="0.35">
      <c r="A12" s="4">
        <v>1</v>
      </c>
      <c r="B12" s="4">
        <v>2</v>
      </c>
      <c r="C12" s="4">
        <v>52.427999999999997</v>
      </c>
      <c r="D12" s="1">
        <v>53.18</v>
      </c>
      <c r="E12" s="1">
        <v>0.96</v>
      </c>
      <c r="F12" s="1">
        <v>50.573999999999998</v>
      </c>
      <c r="G12" s="1">
        <v>50.423999999999999</v>
      </c>
      <c r="H12" s="1">
        <v>50.743000000000002</v>
      </c>
      <c r="R12" s="8">
        <v>7</v>
      </c>
      <c r="S12" s="8">
        <v>2</v>
      </c>
      <c r="T12" s="8" t="s">
        <v>13</v>
      </c>
      <c r="U12" s="8">
        <v>14.224</v>
      </c>
      <c r="V12" s="8">
        <v>3.5979999999999999</v>
      </c>
      <c r="W12" s="8">
        <v>37.332000000000001</v>
      </c>
      <c r="X12" s="8">
        <v>3369.2469999999998</v>
      </c>
      <c r="Y12" s="8" t="s">
        <v>14</v>
      </c>
      <c r="Z12" s="8">
        <v>22.68</v>
      </c>
      <c r="AA12" s="8">
        <v>145.1</v>
      </c>
      <c r="AC12" s="8">
        <v>7</v>
      </c>
      <c r="AD12" s="8">
        <v>2</v>
      </c>
      <c r="AE12" s="8" t="s">
        <v>15</v>
      </c>
      <c r="AF12" s="10">
        <v>3369.2469999999998</v>
      </c>
      <c r="AG12" s="8" t="s">
        <v>14</v>
      </c>
      <c r="AH12" s="8">
        <v>43.729199999999999</v>
      </c>
      <c r="AI12" s="8">
        <v>75.239999999999995</v>
      </c>
    </row>
    <row r="13" spans="1:35" ht="15" thickBot="1" x14ac:dyDescent="0.35">
      <c r="A13" s="4">
        <v>1</v>
      </c>
      <c r="B13" s="4">
        <v>3</v>
      </c>
      <c r="C13" s="4">
        <v>52.427999999999997</v>
      </c>
      <c r="D13" s="1">
        <v>53.16</v>
      </c>
      <c r="E13" s="1">
        <v>0.96</v>
      </c>
      <c r="F13" s="1">
        <v>50.561</v>
      </c>
      <c r="G13" s="1">
        <v>50.438000000000002</v>
      </c>
      <c r="H13" s="1">
        <v>50.75</v>
      </c>
      <c r="P13" s="7"/>
      <c r="Q13" s="7"/>
      <c r="R13" s="8">
        <v>7</v>
      </c>
      <c r="S13" s="8">
        <v>3</v>
      </c>
      <c r="T13" s="8" t="s">
        <v>13</v>
      </c>
      <c r="U13" s="8">
        <v>13.75</v>
      </c>
      <c r="V13" s="8">
        <v>3.6440000000000001</v>
      </c>
      <c r="W13" s="8">
        <v>33.598999999999997</v>
      </c>
      <c r="X13" s="8">
        <v>3369.2469999999998</v>
      </c>
      <c r="Y13" s="8" t="s">
        <v>14</v>
      </c>
      <c r="Z13" s="8">
        <v>22.94</v>
      </c>
      <c r="AA13" s="8">
        <v>143.4</v>
      </c>
      <c r="AC13" s="8">
        <v>7</v>
      </c>
      <c r="AD13" s="8">
        <v>3</v>
      </c>
      <c r="AE13" s="8" t="s">
        <v>15</v>
      </c>
      <c r="AF13" s="10">
        <v>3369.2469999999998</v>
      </c>
      <c r="AG13" s="8" t="s">
        <v>14</v>
      </c>
      <c r="AH13" s="8">
        <v>50.133200000000002</v>
      </c>
      <c r="AI13" s="8">
        <v>65.63</v>
      </c>
    </row>
    <row r="14" spans="1:35" ht="15" thickBot="1" x14ac:dyDescent="0.35">
      <c r="A14" s="4">
        <v>2</v>
      </c>
      <c r="B14" s="4">
        <v>1</v>
      </c>
      <c r="C14" s="4">
        <v>52.427999999999997</v>
      </c>
      <c r="D14" s="1">
        <v>53.18</v>
      </c>
      <c r="E14" s="1">
        <v>0.96</v>
      </c>
      <c r="F14" s="1">
        <v>50.575000000000003</v>
      </c>
      <c r="G14" s="1">
        <v>50.444000000000003</v>
      </c>
      <c r="H14" s="1">
        <v>50.841999999999999</v>
      </c>
      <c r="P14" s="7"/>
      <c r="Q14" s="7"/>
      <c r="R14" s="8">
        <v>10</v>
      </c>
      <c r="S14" s="8">
        <v>1</v>
      </c>
      <c r="T14" s="8" t="s">
        <v>13</v>
      </c>
      <c r="U14" s="8">
        <v>13.186</v>
      </c>
      <c r="V14" s="8">
        <v>3.609</v>
      </c>
      <c r="W14" s="8">
        <v>31.1</v>
      </c>
      <c r="X14" s="8">
        <v>3369.2469999999998</v>
      </c>
      <c r="Y14" s="8" t="s">
        <v>14</v>
      </c>
      <c r="Z14" s="8">
        <v>24.36</v>
      </c>
      <c r="AA14" s="8">
        <v>135.05000000000001</v>
      </c>
      <c r="AC14" s="8">
        <v>10</v>
      </c>
      <c r="AD14" s="8">
        <v>1</v>
      </c>
      <c r="AE14" s="8" t="s">
        <v>15</v>
      </c>
      <c r="AF14" s="10">
        <v>3369.2469999999998</v>
      </c>
      <c r="AG14" s="8" t="s">
        <v>14</v>
      </c>
      <c r="AH14" s="8">
        <v>61.5214</v>
      </c>
      <c r="AI14" s="8">
        <v>53.48</v>
      </c>
    </row>
    <row r="15" spans="1:35" ht="15" thickBot="1" x14ac:dyDescent="0.35">
      <c r="A15" s="4">
        <v>2</v>
      </c>
      <c r="B15" s="4">
        <v>2</v>
      </c>
      <c r="C15" s="4">
        <v>52.427999999999997</v>
      </c>
      <c r="D15" s="1">
        <v>53.14</v>
      </c>
      <c r="E15" s="1">
        <v>0.96</v>
      </c>
      <c r="F15" s="1">
        <v>50.594000000000001</v>
      </c>
      <c r="G15" s="1">
        <v>50.572000000000003</v>
      </c>
      <c r="H15" s="1">
        <v>50.725999999999999</v>
      </c>
      <c r="P15" s="7"/>
      <c r="Q15" s="7"/>
      <c r="R15" s="8">
        <v>10</v>
      </c>
      <c r="S15" s="8">
        <v>2</v>
      </c>
      <c r="T15" s="8" t="s">
        <v>13</v>
      </c>
      <c r="U15" s="8">
        <v>14.523999999999999</v>
      </c>
      <c r="V15" s="8">
        <v>3.64</v>
      </c>
      <c r="W15" s="8">
        <v>29.85</v>
      </c>
      <c r="X15" s="8">
        <v>3369.2469999999998</v>
      </c>
      <c r="Y15" s="8" t="s">
        <v>14</v>
      </c>
      <c r="Z15" s="8">
        <v>24.83</v>
      </c>
      <c r="AA15" s="8">
        <v>132.52000000000001</v>
      </c>
      <c r="AC15" s="8">
        <v>10</v>
      </c>
      <c r="AD15" s="8">
        <v>2</v>
      </c>
      <c r="AE15" s="8" t="s">
        <v>15</v>
      </c>
      <c r="AF15" s="10">
        <v>3369.2469999999998</v>
      </c>
      <c r="AG15" s="8" t="s">
        <v>14</v>
      </c>
      <c r="AH15" s="8">
        <v>71.012</v>
      </c>
      <c r="AI15" s="8">
        <v>46.33</v>
      </c>
    </row>
    <row r="16" spans="1:35" ht="15" thickBot="1" x14ac:dyDescent="0.35">
      <c r="A16" s="4">
        <v>2</v>
      </c>
      <c r="B16" s="4">
        <v>3</v>
      </c>
      <c r="C16" s="4">
        <v>52.427999999999997</v>
      </c>
      <c r="D16" s="1">
        <v>53.15</v>
      </c>
      <c r="E16" s="1">
        <v>0.96</v>
      </c>
      <c r="F16" s="1">
        <v>50.570999999999998</v>
      </c>
      <c r="G16" s="1">
        <v>50.432000000000002</v>
      </c>
      <c r="H16" s="1">
        <v>50.784999999999997</v>
      </c>
      <c r="P16" s="7"/>
      <c r="Q16" s="7"/>
      <c r="R16" s="8">
        <v>10</v>
      </c>
      <c r="S16" s="8">
        <v>3</v>
      </c>
      <c r="T16" s="8" t="s">
        <v>13</v>
      </c>
      <c r="U16" s="8">
        <v>14.535</v>
      </c>
      <c r="V16" s="8">
        <v>3.6179999999999999</v>
      </c>
      <c r="W16" s="8">
        <v>39.936999999999998</v>
      </c>
      <c r="X16" s="8">
        <v>3369.2469999999998</v>
      </c>
      <c r="Y16" s="8" t="s">
        <v>14</v>
      </c>
      <c r="Z16" s="8">
        <v>24.97</v>
      </c>
      <c r="AA16" s="8">
        <v>131.77000000000001</v>
      </c>
      <c r="AC16" s="8">
        <v>10</v>
      </c>
      <c r="AD16" s="8">
        <v>3</v>
      </c>
      <c r="AE16" s="8" t="s">
        <v>15</v>
      </c>
      <c r="AF16" s="10">
        <v>3369.2469999999998</v>
      </c>
      <c r="AG16" s="8" t="s">
        <v>14</v>
      </c>
      <c r="AH16" s="8">
        <v>68.631100000000004</v>
      </c>
      <c r="AI16" s="8">
        <v>47.94</v>
      </c>
    </row>
    <row r="17" spans="1:32" ht="15" thickBot="1" x14ac:dyDescent="0.35">
      <c r="A17" s="4">
        <v>3</v>
      </c>
      <c r="B17" s="4">
        <v>1</v>
      </c>
      <c r="C17" s="4">
        <v>52.427999999999997</v>
      </c>
      <c r="D17" s="1">
        <v>53.15</v>
      </c>
      <c r="E17" s="1">
        <v>0.96</v>
      </c>
      <c r="F17" s="1">
        <v>50.55</v>
      </c>
      <c r="G17" s="1">
        <v>50.448</v>
      </c>
      <c r="H17" s="1">
        <v>50.725000000000001</v>
      </c>
      <c r="P17" s="7"/>
      <c r="Q17" s="7"/>
    </row>
    <row r="18" spans="1:32" ht="15" thickBot="1" x14ac:dyDescent="0.35">
      <c r="A18" s="4">
        <v>3</v>
      </c>
      <c r="B18" s="4">
        <v>2</v>
      </c>
      <c r="C18" s="4">
        <v>52.427999999999997</v>
      </c>
      <c r="D18" s="1">
        <v>53.15</v>
      </c>
      <c r="E18" s="1">
        <v>0.96</v>
      </c>
      <c r="F18" s="1">
        <v>50.561</v>
      </c>
      <c r="G18" s="1">
        <v>50.396999999999998</v>
      </c>
      <c r="H18" s="1">
        <v>51.034999999999997</v>
      </c>
      <c r="P18" s="7"/>
      <c r="Q18" s="7"/>
      <c r="AC18" s="11"/>
      <c r="AD18" s="11"/>
      <c r="AE18" s="11"/>
      <c r="AF18" s="11"/>
    </row>
    <row r="19" spans="1:32" ht="43.8" thickBot="1" x14ac:dyDescent="0.35">
      <c r="A19" s="4">
        <v>3</v>
      </c>
      <c r="B19" s="4">
        <v>3</v>
      </c>
      <c r="C19" s="4">
        <v>52.427999999999997</v>
      </c>
      <c r="D19" s="1">
        <v>53.15</v>
      </c>
      <c r="E19" s="1">
        <v>0.96</v>
      </c>
      <c r="F19" s="1">
        <v>50.563000000000002</v>
      </c>
      <c r="G19" s="1">
        <v>50.418999999999997</v>
      </c>
      <c r="H19" s="1">
        <v>51.088999999999999</v>
      </c>
      <c r="P19" s="7"/>
      <c r="Q19" s="7"/>
      <c r="R19" s="8" t="s">
        <v>3</v>
      </c>
      <c r="S19" s="8" t="s">
        <v>11</v>
      </c>
      <c r="T19" s="8" t="s">
        <v>8</v>
      </c>
      <c r="U19" s="8" t="s">
        <v>6</v>
      </c>
      <c r="V19" s="12" t="s">
        <v>9</v>
      </c>
      <c r="AC19" s="11"/>
      <c r="AD19" s="11"/>
      <c r="AE19" s="11"/>
      <c r="AF19" s="11"/>
    </row>
    <row r="20" spans="1:32" ht="15" thickBot="1" x14ac:dyDescent="0.35">
      <c r="R20" s="8">
        <v>1</v>
      </c>
      <c r="S20" s="8" t="s">
        <v>13</v>
      </c>
      <c r="T20">
        <f>AVERAGE(AA2:AA4)</f>
        <v>156.42999999999998</v>
      </c>
      <c r="U20">
        <f>AVERAGE(U2:U4)</f>
        <v>13.648666666666665</v>
      </c>
      <c r="V20">
        <f>AVERAGE(Z2:Z4)</f>
        <v>21.033333333333331</v>
      </c>
      <c r="AC20" s="11"/>
      <c r="AD20" s="11"/>
      <c r="AE20" s="11"/>
      <c r="AF20" s="11"/>
    </row>
    <row r="21" spans="1:32" ht="15" thickBot="1" x14ac:dyDescent="0.35">
      <c r="R21">
        <v>3</v>
      </c>
      <c r="S21" s="8" t="s">
        <v>13</v>
      </c>
      <c r="T21">
        <f>AVERAGE(AA5:AA7)</f>
        <v>150.72</v>
      </c>
      <c r="U21">
        <f>AVERAGE(U5:U7)</f>
        <v>14.311999999999999</v>
      </c>
      <c r="V21">
        <f>AVERAGE(Z5:Z7)</f>
        <v>21.83</v>
      </c>
      <c r="AC21" s="11"/>
      <c r="AD21" s="11"/>
      <c r="AE21" s="11"/>
      <c r="AF21" s="11"/>
    </row>
    <row r="22" spans="1:32" ht="15" thickBot="1" x14ac:dyDescent="0.35">
      <c r="R22">
        <v>5</v>
      </c>
      <c r="S22" s="8" t="s">
        <v>13</v>
      </c>
      <c r="T22">
        <f>AVERAGE(AA8:AA10)</f>
        <v>153.89333333333335</v>
      </c>
      <c r="U22">
        <f>AVERAGE(U8:U10)</f>
        <v>12.953333333333333</v>
      </c>
      <c r="V22">
        <f>AVERAGE(Z8:Z10)</f>
        <v>21.383333333333336</v>
      </c>
      <c r="Z22" s="9"/>
      <c r="AD22" s="11"/>
      <c r="AE22" s="11"/>
      <c r="AF22" s="11"/>
    </row>
    <row r="23" spans="1:32" ht="15" thickBot="1" x14ac:dyDescent="0.35">
      <c r="R23">
        <v>7</v>
      </c>
      <c r="S23" s="8" t="s">
        <v>13</v>
      </c>
      <c r="T23">
        <f>AVERAGE(AA11:AA13)</f>
        <v>143.92999999999998</v>
      </c>
      <c r="U23">
        <f>AVERAGE(U11:U13)</f>
        <v>12.076333333333332</v>
      </c>
      <c r="V23">
        <f>AVERAGE(Z11:Z13)</f>
        <v>22.86</v>
      </c>
      <c r="X23" s="11"/>
      <c r="Y23" s="11"/>
      <c r="Z23" s="11"/>
      <c r="AA23" s="11"/>
      <c r="AD23" s="11"/>
      <c r="AE23" s="11"/>
      <c r="AF23" s="11"/>
    </row>
    <row r="24" spans="1:32" ht="15" thickBot="1" x14ac:dyDescent="0.35">
      <c r="R24">
        <v>10</v>
      </c>
      <c r="S24" s="8" t="s">
        <v>13</v>
      </c>
      <c r="T24">
        <f>AVERAGE(AA14:AA16)</f>
        <v>133.11333333333334</v>
      </c>
      <c r="U24">
        <f>AVERAGE(U14:U16)</f>
        <v>14.081666666666669</v>
      </c>
      <c r="V24">
        <f>AVERAGE(Z14:Z16)</f>
        <v>24.72</v>
      </c>
      <c r="X24" s="11"/>
      <c r="Y24" s="11"/>
      <c r="Z24" s="11"/>
      <c r="AA24" s="11"/>
      <c r="AD24" s="11"/>
      <c r="AE24" s="11"/>
      <c r="AF24" s="11"/>
    </row>
    <row r="25" spans="1:32" ht="15" thickBot="1" x14ac:dyDescent="0.35">
      <c r="R25" s="8">
        <v>1</v>
      </c>
      <c r="S25" s="8" t="s">
        <v>15</v>
      </c>
      <c r="T25">
        <f>AVERAGE(AI2:AI4)</f>
        <v>114.36333333333333</v>
      </c>
      <c r="U25" t="s">
        <v>16</v>
      </c>
      <c r="V25">
        <f>AVERAGE(AH2:AH4)</f>
        <v>28.773566666666667</v>
      </c>
      <c r="X25" s="11"/>
      <c r="Y25" s="11"/>
      <c r="Z25" s="11"/>
      <c r="AA25" s="11"/>
      <c r="AD25" s="11"/>
      <c r="AE25" s="11"/>
      <c r="AF25" s="11"/>
    </row>
    <row r="26" spans="1:32" ht="15" thickBot="1" x14ac:dyDescent="0.35">
      <c r="R26">
        <v>3</v>
      </c>
      <c r="S26" s="8" t="s">
        <v>15</v>
      </c>
      <c r="T26">
        <f>AVERAGE(AI5:AI7)</f>
        <v>70.843333333333348</v>
      </c>
      <c r="U26" t="s">
        <v>16</v>
      </c>
      <c r="V26">
        <f>AVERAGE(AH5:AH7)</f>
        <v>46.514900000000004</v>
      </c>
      <c r="X26" s="11"/>
      <c r="Y26" s="11"/>
      <c r="Z26" s="11"/>
      <c r="AA26" s="11"/>
      <c r="AD26" s="11"/>
      <c r="AE26" s="11"/>
      <c r="AF26" s="11"/>
    </row>
    <row r="27" spans="1:32" ht="15" thickBot="1" x14ac:dyDescent="0.35">
      <c r="R27">
        <v>5</v>
      </c>
      <c r="S27" s="8" t="s">
        <v>15</v>
      </c>
      <c r="T27">
        <f>AVERAGE(AI8:AI10)</f>
        <v>61.31</v>
      </c>
      <c r="U27" t="s">
        <v>16</v>
      </c>
      <c r="V27">
        <f>AVERAGE(AH8:AH10)</f>
        <v>54.262833333333333</v>
      </c>
      <c r="X27" s="11"/>
      <c r="Y27" s="11"/>
      <c r="Z27" s="11"/>
      <c r="AA27" s="11"/>
      <c r="AD27" s="11"/>
      <c r="AE27" s="11"/>
      <c r="AF27" s="11"/>
    </row>
    <row r="28" spans="1:32" ht="15" thickBot="1" x14ac:dyDescent="0.35">
      <c r="R28">
        <v>7</v>
      </c>
      <c r="S28" s="8" t="s">
        <v>15</v>
      </c>
      <c r="T28">
        <f>AVERAGE(AI11:AI13)</f>
        <v>72.77</v>
      </c>
      <c r="U28" t="s">
        <v>16</v>
      </c>
      <c r="V28">
        <f>AVERAGE(AH11:AH13)</f>
        <v>45.45066666666667</v>
      </c>
      <c r="X28" s="11"/>
      <c r="Y28" s="11"/>
      <c r="Z28" s="11"/>
      <c r="AA28" s="11"/>
      <c r="AD28" s="11"/>
      <c r="AE28" s="11"/>
      <c r="AF28" s="11"/>
    </row>
    <row r="29" spans="1:32" ht="15" thickBot="1" x14ac:dyDescent="0.35">
      <c r="R29">
        <v>10</v>
      </c>
      <c r="S29" s="8" t="s">
        <v>15</v>
      </c>
      <c r="T29">
        <f>AVERAGE(AI14:AI16)</f>
        <v>49.25</v>
      </c>
      <c r="U29" t="s">
        <v>16</v>
      </c>
      <c r="V29">
        <f>AVERAGE(AH14:AH16)</f>
        <v>67.054833333333335</v>
      </c>
      <c r="X29" s="11"/>
      <c r="Y29" s="11"/>
      <c r="Z29" s="11"/>
      <c r="AA29" s="11"/>
      <c r="AD29" s="11"/>
      <c r="AE29" s="11"/>
      <c r="AF29" s="11"/>
    </row>
    <row r="30" spans="1:32" x14ac:dyDescent="0.3">
      <c r="X30" s="11"/>
      <c r="Y30" s="11"/>
      <c r="Z30" s="11"/>
      <c r="AA30" s="11"/>
      <c r="AD30" s="11"/>
      <c r="AE30" s="11"/>
      <c r="AF30" s="11"/>
    </row>
    <row r="31" spans="1:32" x14ac:dyDescent="0.3">
      <c r="X31" s="11"/>
      <c r="Y31" s="11"/>
      <c r="Z31" s="11"/>
      <c r="AA31" s="11"/>
      <c r="AD31" s="11"/>
      <c r="AE31" s="11"/>
      <c r="AF3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 TALATA</dc:creator>
  <cp:lastModifiedBy>Saadi TALATA</cp:lastModifiedBy>
  <dcterms:created xsi:type="dcterms:W3CDTF">2025-12-11T14:28:39Z</dcterms:created>
  <dcterms:modified xsi:type="dcterms:W3CDTF">2025-12-11T22:16:16Z</dcterms:modified>
</cp:coreProperties>
</file>