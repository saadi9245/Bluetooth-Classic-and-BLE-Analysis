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i\Documents\Norway\ikt454-5g\data\"/>
    </mc:Choice>
  </mc:AlternateContent>
  <xr:revisionPtr revIDLastSave="0" documentId="13_ncr:1_{B74B23C1-87B2-48A5-AD24-7E2E7CE71D20}" xr6:coauthVersionLast="47" xr6:coauthVersionMax="47" xr10:uidLastSave="{00000000-0000-0000-0000-000000000000}"/>
  <bookViews>
    <workbookView xWindow="-108" yWindow="-108" windowWidth="23256" windowHeight="12456" xr2:uid="{31635F95-5D0A-4EB0-B0EC-46B87E64D0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23" i="1"/>
  <c r="K22" i="1"/>
  <c r="K21" i="1"/>
  <c r="K20" i="1"/>
  <c r="K18" i="1"/>
  <c r="K17" i="1"/>
  <c r="K16" i="1"/>
  <c r="K15" i="1"/>
  <c r="K14" i="1"/>
  <c r="K12" i="1"/>
  <c r="K11" i="1"/>
  <c r="K10" i="1"/>
  <c r="K9" i="1"/>
  <c r="K8" i="1"/>
  <c r="K6" i="1"/>
  <c r="K5" i="1"/>
  <c r="K4" i="1"/>
  <c r="K3" i="1"/>
  <c r="K2" i="1"/>
  <c r="G64" i="1"/>
  <c r="G48" i="1"/>
  <c r="G32" i="1"/>
  <c r="G16" i="1"/>
  <c r="I24" i="1"/>
  <c r="I23" i="1"/>
  <c r="I22" i="1"/>
  <c r="I21" i="1"/>
  <c r="I20" i="1"/>
  <c r="I18" i="1"/>
  <c r="I17" i="1"/>
  <c r="I16" i="1"/>
  <c r="I15" i="1"/>
  <c r="I14" i="1"/>
  <c r="I12" i="1"/>
  <c r="I11" i="1"/>
  <c r="I10" i="1"/>
  <c r="I9" i="1"/>
  <c r="I8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<sst xmlns="http://schemas.openxmlformats.org/spreadsheetml/2006/main" count="75" uniqueCount="13">
  <si>
    <t>Received (bytes)</t>
  </si>
  <si>
    <t>Duration (s)</t>
  </si>
  <si>
    <t>Speed (KB/s)</t>
  </si>
  <si>
    <t>Try</t>
  </si>
  <si>
    <t>Distance (m)</t>
  </si>
  <si>
    <t>File</t>
  </si>
  <si>
    <t>JPG</t>
  </si>
  <si>
    <t>TXT</t>
  </si>
  <si>
    <t>MP4</t>
  </si>
  <si>
    <t>MP3</t>
  </si>
  <si>
    <t>Average speed (KB/s)</t>
  </si>
  <si>
    <t>Total Average Speed (KB/s)</t>
  </si>
  <si>
    <t>Average 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</si>
</sst>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Throughput vs Distance For Different File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669874233098533E-2"/>
          <c:y val="0.15782397279080274"/>
          <c:w val="0.77211811023622046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v>JPG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Feuil1!$H$2:$H$6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xVal>
          <c:yVal>
            <c:numRef>
              <c:f>Feuil1!$I$2:$I$6</c:f>
              <c:numCache>
                <c:formatCode>General</c:formatCode>
                <c:ptCount val="5"/>
                <c:pt idx="0">
                  <c:v>89.740000000000009</c:v>
                </c:pt>
                <c:pt idx="1">
                  <c:v>72.239999999999995</c:v>
                </c:pt>
                <c:pt idx="2">
                  <c:v>48.123333333333335</c:v>
                </c:pt>
                <c:pt idx="3">
                  <c:v>69.206666666666663</c:v>
                </c:pt>
                <c:pt idx="4">
                  <c:v>47.716666666666669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55-4223-B6D5-460B05BFC999}"/>
            </c:ext>
          </c:extLst>
        </c:ser>
        <c:ser>
          <c:idx val="1"/>
          <c:order val="1"/>
          <c:tx>
            <c:v>TXT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Feuil1!$H$8:$H$12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xVal>
          <c:yVal>
            <c:numRef>
              <c:f>Feuil1!$I$8:$I$12</c:f>
              <c:numCache>
                <c:formatCode>General</c:formatCode>
                <c:ptCount val="5"/>
                <c:pt idx="0">
                  <c:v>114.36333333333333</c:v>
                </c:pt>
                <c:pt idx="1">
                  <c:v>70.843333333333348</c:v>
                </c:pt>
                <c:pt idx="2">
                  <c:v>61.31</c:v>
                </c:pt>
                <c:pt idx="3">
                  <c:v>72.77</c:v>
                </c:pt>
                <c:pt idx="4">
                  <c:v>49.25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55-4223-B6D5-460B05BFC999}"/>
            </c:ext>
          </c:extLst>
        </c:ser>
        <c:ser>
          <c:idx val="2"/>
          <c:order val="2"/>
          <c:tx>
            <c:v>MP4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Feuil1!$H$14:$H$18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xVal>
          <c:yVal>
            <c:numRef>
              <c:f>Feuil1!$I$14:$I$18</c:f>
              <c:numCache>
                <c:formatCode>General</c:formatCode>
                <c:ptCount val="5"/>
                <c:pt idx="0">
                  <c:v>88.363333333333344</c:v>
                </c:pt>
                <c:pt idx="1">
                  <c:v>70.23</c:v>
                </c:pt>
                <c:pt idx="2">
                  <c:v>58.47</c:v>
                </c:pt>
                <c:pt idx="3">
                  <c:v>71.026666666666657</c:v>
                </c:pt>
                <c:pt idx="4">
                  <c:v>47.02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55-4223-B6D5-460B05BFC999}"/>
            </c:ext>
          </c:extLst>
        </c:ser>
        <c:ser>
          <c:idx val="3"/>
          <c:order val="3"/>
          <c:tx>
            <c:v>MP3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Feuil1!$H$20:$H$24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xVal>
          <c:yVal>
            <c:numRef>
              <c:f>Feuil1!$I$20:$I$24</c:f>
              <c:numCache>
                <c:formatCode>General</c:formatCode>
                <c:ptCount val="5"/>
                <c:pt idx="0">
                  <c:v>88.073333333333323</c:v>
                </c:pt>
                <c:pt idx="1">
                  <c:v>71.22</c:v>
                </c:pt>
                <c:pt idx="2">
                  <c:v>46.26</c:v>
                </c:pt>
                <c:pt idx="3">
                  <c:v>76.813333333333333</c:v>
                </c:pt>
                <c:pt idx="4">
                  <c:v>46.933333333333337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55-4223-B6D5-460B05BFC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419455"/>
        <c:axId val="1333420895"/>
      </c:scatterChart>
      <c:valAx>
        <c:axId val="13334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420895"/>
        <c:crosses val="autoZero"/>
        <c:crossBetween val="midCat"/>
      </c:valAx>
      <c:valAx>
        <c:axId val="133342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Throughput (KB/s)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41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 Throughput</a:t>
            </a:r>
            <a:r>
              <a:rPr lang="fr-FR" baseline="0"/>
              <a:t> by File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7152790735281316E-2"/>
          <c:y val="0.11755443886097153"/>
          <c:w val="0.84628612033685358"/>
          <c:h val="0.83889447236180903"/>
        </c:manualLayout>
      </c:layout>
      <c:barChart>
        <c:barDir val="col"/>
        <c:grouping val="clustered"/>
        <c:varyColors val="0"/>
        <c:ser>
          <c:idx val="0"/>
          <c:order val="0"/>
          <c:tx>
            <c:v>JPG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Feuil1!$G$16</c:f>
              <c:numCache>
                <c:formatCode>General</c:formatCode>
                <c:ptCount val="1"/>
                <c:pt idx="0">
                  <c:v>65.405333333333346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7-435E-90A6-F2D4CAB72185}"/>
            </c:ext>
          </c:extLst>
        </c:ser>
        <c:ser>
          <c:idx val="1"/>
          <c:order val="1"/>
          <c:tx>
            <c:v>TXT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Feuil1!$G$32</c:f>
              <c:numCache>
                <c:formatCode>General</c:formatCode>
                <c:ptCount val="1"/>
                <c:pt idx="0">
                  <c:v>73.707333333333338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7-435E-90A6-F2D4CAB72185}"/>
            </c:ext>
          </c:extLst>
        </c:ser>
        <c:ser>
          <c:idx val="2"/>
          <c:order val="2"/>
          <c:tx>
            <c:v>MP4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Feuil1!$G$48</c:f>
              <c:numCache>
                <c:formatCode>General</c:formatCode>
                <c:ptCount val="1"/>
                <c:pt idx="0">
                  <c:v>67.021999999999991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B7-435E-90A6-F2D4CAB72185}"/>
            </c:ext>
          </c:extLst>
        </c:ser>
        <c:ser>
          <c:idx val="3"/>
          <c:order val="3"/>
          <c:tx>
            <c:v>MP3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Feuil1!$G$64</c:f>
              <c:numCache>
                <c:formatCode>General</c:formatCode>
                <c:ptCount val="1"/>
                <c:pt idx="0">
                  <c:v>65.859999999999985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B7-435E-90A6-F2D4CAB72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3311151"/>
        <c:axId val="1563314511"/>
      </c:barChart>
      <c:catAx>
        <c:axId val="1563311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63314511"/>
        <c:crosses val="autoZero"/>
        <c:auto val="1"/>
        <c:lblAlgn val="ctr"/>
        <c:lblOffset val="100"/>
        <c:noMultiLvlLbl val="0"/>
      </c:catAx>
      <c:valAx>
        <c:axId val="156331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aseline="0"/>
                  <a:t>Throughput (KB/s)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331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047792945274366"/>
          <c:y val="0.43398567641356395"/>
          <c:w val="6.1733908553486892E-2"/>
          <c:h val="0.2261322359830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Transfer</a:t>
            </a:r>
            <a:r>
              <a:rPr lang="fr-FR" baseline="0"/>
              <a:t> Duration vs Distance by File Type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658619384068427E-2"/>
          <c:y val="0.17171295204865858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v>JPG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Feuil1!$H$2:$H$6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Feuil1!$K$2:$K$6</c:f>
              <c:numCache>
                <c:formatCode>General</c:formatCode>
                <c:ptCount val="5"/>
                <c:pt idx="0">
                  <c:v>86.283533333333324</c:v>
                </c:pt>
                <c:pt idx="1">
                  <c:v>107.21223333333332</c:v>
                </c:pt>
                <c:pt idx="2">
                  <c:v>165.19810000000001</c:v>
                </c:pt>
                <c:pt idx="3">
                  <c:v>112.2079</c:v>
                </c:pt>
                <c:pt idx="4">
                  <c:v>163.38226666666665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91-4E38-8E0B-3FF3B28C2C65}"/>
            </c:ext>
          </c:extLst>
        </c:ser>
        <c:ser>
          <c:idx val="1"/>
          <c:order val="1"/>
          <c:tx>
            <c:v>TXT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Feuil1!$H$2:$H$6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Feuil1!$K$8:$K$12</c:f>
              <c:numCache>
                <c:formatCode>General</c:formatCode>
                <c:ptCount val="5"/>
                <c:pt idx="0">
                  <c:v>28.773566666666667</c:v>
                </c:pt>
                <c:pt idx="1">
                  <c:v>46.514900000000004</c:v>
                </c:pt>
                <c:pt idx="2">
                  <c:v>54.262833333333333</c:v>
                </c:pt>
                <c:pt idx="3">
                  <c:v>45.45066666666667</c:v>
                </c:pt>
                <c:pt idx="4">
                  <c:v>67.054833333333335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91-4E38-8E0B-3FF3B28C2C65}"/>
            </c:ext>
          </c:extLst>
        </c:ser>
        <c:ser>
          <c:idx val="2"/>
          <c:order val="2"/>
          <c:tx>
            <c:v>MP4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Feuil1!$H$2:$H$6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Feuil1!$K$14:$K$18</c:f>
              <c:numCache>
                <c:formatCode>General</c:formatCode>
                <c:ptCount val="5"/>
                <c:pt idx="0">
                  <c:v>84.26166666666667</c:v>
                </c:pt>
                <c:pt idx="1">
                  <c:v>106.18329999999999</c:v>
                </c:pt>
                <c:pt idx="2">
                  <c:v>128.33693333333335</c:v>
                </c:pt>
                <c:pt idx="3">
                  <c:v>105.04203333333334</c:v>
                </c:pt>
                <c:pt idx="4">
                  <c:v>158.62706666666665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91-4E38-8E0B-3FF3B28C2C65}"/>
            </c:ext>
          </c:extLst>
        </c:ser>
        <c:ser>
          <c:idx val="3"/>
          <c:order val="3"/>
          <c:tx>
            <c:v>MP3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Feuil1!$H$2:$H$6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Feuil1!$K$20:$K$24</c:f>
              <c:numCache>
                <c:formatCode>General</c:formatCode>
                <c:ptCount val="5"/>
                <c:pt idx="0">
                  <c:v>49.32203333333333</c:v>
                </c:pt>
                <c:pt idx="1">
                  <c:v>61.01253333333333</c:v>
                </c:pt>
                <c:pt idx="2">
                  <c:v>94.051000000000002</c:v>
                </c:pt>
                <c:pt idx="3">
                  <c:v>56.546266666666668</c:v>
                </c:pt>
                <c:pt idx="4">
                  <c:v>92.727100000000007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91-4E38-8E0B-3FF3B28C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246847"/>
        <c:axId val="836247807"/>
      </c:lineChart>
      <c:catAx>
        <c:axId val="836246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247807"/>
        <c:crosses val="autoZero"/>
        <c:auto val="1"/>
        <c:lblAlgn val="ctr"/>
        <c:lblOffset val="100"/>
        <c:noMultiLvlLbl val="0"/>
      </c:catAx>
      <c:valAx>
        <c:axId val="83624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Transfer Duration</a:t>
                </a:r>
                <a:r>
                  <a:rPr lang="fr-FR" baseline="0"/>
                  <a:t> (s)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24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60960</xdr:colOff>
      <xdr:row>1</xdr:row>
      <xdr:rowOff>26670</xdr:rowOff>
    </xdr:from>
    <xdr:to>
      <xdr:col>22</xdr:col>
      <xdr:colOff>121920</xdr:colOff>
      <xdr:row>21</xdr:row>
      <xdr:rowOff>121920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E2715C-F0B9-FDA8-5C6F-2A7B18C5B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746760</xdr:colOff>
      <xdr:row>22</xdr:row>
      <xdr:rowOff>148590</xdr:rowOff>
    </xdr:from>
    <xdr:to>
      <xdr:col>22</xdr:col>
      <xdr:colOff>137160</xdr:colOff>
      <xdr:row>42</xdr:row>
      <xdr:rowOff>129540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2005071-0F80-7D1B-0F4A-9699659E5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281940</xdr:colOff>
      <xdr:row>44</xdr:row>
      <xdr:rowOff>80010</xdr:rowOff>
    </xdr:from>
    <xdr:to>
      <xdr:col>20</xdr:col>
      <xdr:colOff>175260</xdr:colOff>
      <xdr:row>61</xdr:row>
      <xdr:rowOff>22860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85BDC5E-45AC-F56B-9A27-9C7A19A13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6539-AC1D-4518-AEBD-2C4FB447054F}">
  <dimension ref="A1:K64"/>
  <sheetViews>
    <sheetView tabSelected="1" topLeftCell="I1" zoomScaleNormal="100" workbookViewId="0">
      <selection activeCell="N8" sqref="N8"/>
    </sheetView>
  </sheetViews>
  <sheetFormatPr baseColWidth="10" defaultRowHeight="14.4" x14ac:dyDescent="0.3"/>
  <cols>
    <col min="2" max="2" width="14.6640625" customWidth="1"/>
    <col min="3" max="3" width="13.33203125" customWidth="1"/>
    <col min="7" max="7" width="25.77734375" customWidth="1"/>
    <col min="8" max="8" width="13.33203125" customWidth="1"/>
    <col min="9" max="9" width="20.21875" customWidth="1"/>
    <col min="10" max="10" width="17.21875" customWidth="1"/>
    <col min="11" max="11" width="17.33203125" customWidth="1"/>
  </cols>
  <sheetData>
    <row r="1" spans="1:11" ht="15" thickBot="1" x14ac:dyDescent="0.35">
      <c r="A1" t="s">
        <v>3</v>
      </c>
      <c r="B1" t="s">
        <v>0</v>
      </c>
      <c r="C1" s="1" t="s">
        <v>1</v>
      </c>
      <c r="D1" t="s">
        <v>2</v>
      </c>
      <c r="E1" t="s">
        <v>4</v>
      </c>
      <c r="F1" t="s">
        <v>5</v>
      </c>
      <c r="G1" t="s">
        <v>11</v>
      </c>
      <c r="H1" t="s">
        <v>4</v>
      </c>
      <c r="I1" t="s">
        <v>10</v>
      </c>
      <c r="J1" t="s">
        <v>5</v>
      </c>
      <c r="K1" t="s">
        <v>12</v>
      </c>
    </row>
    <row r="2" spans="1:11" ht="15" thickBot="1" x14ac:dyDescent="0.35">
      <c r="A2">
        <v>1</v>
      </c>
      <c r="B2" s="2">
        <v>7926685</v>
      </c>
      <c r="C2" s="2">
        <v>84.616299999999995</v>
      </c>
      <c r="D2" s="2">
        <v>91.48</v>
      </c>
      <c r="E2">
        <v>1</v>
      </c>
      <c r="F2" t="s">
        <v>6</v>
      </c>
      <c r="H2">
        <v>1</v>
      </c>
      <c r="I2">
        <f>AVERAGE(D2:D4)</f>
        <v>89.740000000000009</v>
      </c>
      <c r="J2" t="s">
        <v>6</v>
      </c>
      <c r="K2">
        <f>AVERAGE(C2:C4)</f>
        <v>86.283533333333324</v>
      </c>
    </row>
    <row r="3" spans="1:11" ht="15" thickBot="1" x14ac:dyDescent="0.35">
      <c r="A3">
        <v>2</v>
      </c>
      <c r="B3" s="2">
        <v>7926685</v>
      </c>
      <c r="C3" s="2">
        <v>86.077500000000001</v>
      </c>
      <c r="D3" s="2">
        <v>89.93</v>
      </c>
      <c r="E3">
        <v>1</v>
      </c>
      <c r="F3" t="s">
        <v>6</v>
      </c>
      <c r="H3">
        <v>3</v>
      </c>
      <c r="I3">
        <f>AVERAGE(D5:D7)</f>
        <v>72.239999999999995</v>
      </c>
      <c r="K3">
        <f>AVERAGE(C5:C7)</f>
        <v>107.21223333333332</v>
      </c>
    </row>
    <row r="4" spans="1:11" ht="15" thickBot="1" x14ac:dyDescent="0.35">
      <c r="A4">
        <v>3</v>
      </c>
      <c r="B4" s="2">
        <v>7926685</v>
      </c>
      <c r="C4" s="2">
        <v>88.156800000000004</v>
      </c>
      <c r="D4" s="2">
        <v>87.81</v>
      </c>
      <c r="E4">
        <v>1</v>
      </c>
      <c r="F4" t="s">
        <v>6</v>
      </c>
      <c r="H4">
        <v>5</v>
      </c>
      <c r="I4">
        <f>AVERAGE(D8:D10)</f>
        <v>48.123333333333335</v>
      </c>
      <c r="K4">
        <f>AVERAGE(C8:C10)</f>
        <v>165.19810000000001</v>
      </c>
    </row>
    <row r="5" spans="1:11" ht="15" thickBot="1" x14ac:dyDescent="0.35">
      <c r="A5" s="2">
        <v>1</v>
      </c>
      <c r="B5" s="2">
        <v>7926685</v>
      </c>
      <c r="C5" s="2">
        <v>105.4318</v>
      </c>
      <c r="D5" s="2">
        <v>73.42</v>
      </c>
      <c r="E5">
        <v>3</v>
      </c>
      <c r="F5" t="s">
        <v>6</v>
      </c>
      <c r="H5">
        <v>7</v>
      </c>
      <c r="I5">
        <f>AVERAGE(D11:D13)</f>
        <v>69.206666666666663</v>
      </c>
      <c r="K5">
        <f>AVERAGE(C11:C13)</f>
        <v>112.2079</v>
      </c>
    </row>
    <row r="6" spans="1:11" ht="15" thickBot="1" x14ac:dyDescent="0.35">
      <c r="A6" s="2">
        <v>2</v>
      </c>
      <c r="B6" s="2">
        <v>7926685</v>
      </c>
      <c r="C6" s="2">
        <v>110.7456</v>
      </c>
      <c r="D6" s="2">
        <v>69.900000000000006</v>
      </c>
      <c r="E6">
        <v>3</v>
      </c>
      <c r="F6" t="s">
        <v>6</v>
      </c>
      <c r="H6">
        <v>10</v>
      </c>
      <c r="I6">
        <f>AVERAGE(D14:D16)</f>
        <v>47.716666666666669</v>
      </c>
      <c r="K6">
        <f>AVERAGE(C14:C16)</f>
        <v>163.38226666666665</v>
      </c>
    </row>
    <row r="7" spans="1:11" ht="15" thickBot="1" x14ac:dyDescent="0.35">
      <c r="A7" s="2">
        <v>3</v>
      </c>
      <c r="B7" s="2">
        <v>7926685</v>
      </c>
      <c r="C7" s="2">
        <v>105.4593</v>
      </c>
      <c r="D7" s="2">
        <v>73.400000000000006</v>
      </c>
      <c r="E7">
        <v>3</v>
      </c>
      <c r="F7" t="s">
        <v>6</v>
      </c>
      <c r="H7" s="3"/>
      <c r="I7" s="3"/>
      <c r="J7" s="3"/>
    </row>
    <row r="8" spans="1:11" ht="15" thickBot="1" x14ac:dyDescent="0.35">
      <c r="A8" s="2">
        <v>1</v>
      </c>
      <c r="B8" s="2">
        <v>7926685</v>
      </c>
      <c r="C8" s="2">
        <v>162.839</v>
      </c>
      <c r="D8" s="2">
        <v>47.54</v>
      </c>
      <c r="E8">
        <v>5</v>
      </c>
      <c r="F8" t="s">
        <v>6</v>
      </c>
      <c r="H8">
        <v>1</v>
      </c>
      <c r="I8">
        <f>AVERAGE(D18:D20)</f>
        <v>114.36333333333333</v>
      </c>
      <c r="J8" t="s">
        <v>7</v>
      </c>
      <c r="K8">
        <f>AVERAGE(C18:C20)</f>
        <v>28.773566666666667</v>
      </c>
    </row>
    <row r="9" spans="1:11" ht="15" thickBot="1" x14ac:dyDescent="0.35">
      <c r="A9" s="2">
        <v>2</v>
      </c>
      <c r="B9" s="2">
        <v>7926685</v>
      </c>
      <c r="C9" s="2">
        <v>199.25149999999999</v>
      </c>
      <c r="D9" s="2">
        <v>38.85</v>
      </c>
      <c r="E9">
        <v>5</v>
      </c>
      <c r="F9" t="s">
        <v>6</v>
      </c>
      <c r="H9">
        <v>3</v>
      </c>
      <c r="I9">
        <f>AVERAGE(D21:D23)</f>
        <v>70.843333333333348</v>
      </c>
      <c r="K9">
        <f>AVERAGE(C21:C23)</f>
        <v>46.514900000000004</v>
      </c>
    </row>
    <row r="10" spans="1:11" ht="15" thickBot="1" x14ac:dyDescent="0.35">
      <c r="A10" s="2">
        <v>3</v>
      </c>
      <c r="B10" s="2">
        <v>7926685</v>
      </c>
      <c r="C10" s="2">
        <v>133.50380000000001</v>
      </c>
      <c r="D10" s="2">
        <v>57.98</v>
      </c>
      <c r="E10">
        <v>5</v>
      </c>
      <c r="F10" t="s">
        <v>6</v>
      </c>
      <c r="H10">
        <v>5</v>
      </c>
      <c r="I10">
        <f>AVERAGE(D24:D26)</f>
        <v>61.31</v>
      </c>
      <c r="K10">
        <f>AVERAGE(C24:C26)</f>
        <v>54.262833333333333</v>
      </c>
    </row>
    <row r="11" spans="1:11" ht="15" thickBot="1" x14ac:dyDescent="0.35">
      <c r="A11" s="2">
        <v>1</v>
      </c>
      <c r="B11" s="2">
        <v>7926685</v>
      </c>
      <c r="C11" s="2">
        <v>120.8206</v>
      </c>
      <c r="D11" s="2">
        <v>64.069999999999993</v>
      </c>
      <c r="E11">
        <v>7</v>
      </c>
      <c r="F11" t="s">
        <v>6</v>
      </c>
      <c r="H11">
        <v>7</v>
      </c>
      <c r="I11">
        <f>AVERAGE(D27:D29)</f>
        <v>72.77</v>
      </c>
      <c r="K11">
        <f>AVERAGE(C27:C29)</f>
        <v>45.45066666666667</v>
      </c>
    </row>
    <row r="12" spans="1:11" ht="15" thickBot="1" x14ac:dyDescent="0.35">
      <c r="A12" s="2">
        <v>2</v>
      </c>
      <c r="B12" s="2">
        <v>7926685</v>
      </c>
      <c r="C12" s="2">
        <v>110.25279999999999</v>
      </c>
      <c r="D12" s="2">
        <v>70.209999999999994</v>
      </c>
      <c r="E12">
        <v>7</v>
      </c>
      <c r="F12" t="s">
        <v>6</v>
      </c>
      <c r="H12">
        <v>10</v>
      </c>
      <c r="I12">
        <f>AVERAGE(D30:D32)</f>
        <v>49.25</v>
      </c>
      <c r="K12">
        <f>AVERAGE(C30:C32)</f>
        <v>67.054833333333335</v>
      </c>
    </row>
    <row r="13" spans="1:11" ht="15" thickBot="1" x14ac:dyDescent="0.35">
      <c r="A13" s="2">
        <v>3</v>
      </c>
      <c r="B13" s="2">
        <v>7926685</v>
      </c>
      <c r="C13" s="2">
        <v>105.55029999999999</v>
      </c>
      <c r="D13" s="2">
        <v>73.34</v>
      </c>
      <c r="E13">
        <v>7</v>
      </c>
      <c r="F13" t="s">
        <v>6</v>
      </c>
      <c r="H13" s="3"/>
      <c r="I13" s="3"/>
      <c r="J13" s="3"/>
    </row>
    <row r="14" spans="1:11" ht="15" thickBot="1" x14ac:dyDescent="0.35">
      <c r="A14" s="2">
        <v>1</v>
      </c>
      <c r="B14" s="2">
        <v>7926685</v>
      </c>
      <c r="C14" s="2">
        <v>183.28149999999999</v>
      </c>
      <c r="D14" s="2">
        <v>42.24</v>
      </c>
      <c r="E14">
        <v>10</v>
      </c>
      <c r="F14" t="s">
        <v>6</v>
      </c>
      <c r="H14">
        <v>1</v>
      </c>
      <c r="I14">
        <f>AVERAGE(D34:D36)</f>
        <v>88.363333333333344</v>
      </c>
      <c r="J14" t="s">
        <v>8</v>
      </c>
      <c r="K14">
        <f>AVERAGE(C34:C36)</f>
        <v>84.26166666666667</v>
      </c>
    </row>
    <row r="15" spans="1:11" ht="15" thickBot="1" x14ac:dyDescent="0.35">
      <c r="A15" s="2">
        <v>2</v>
      </c>
      <c r="B15" s="2">
        <v>7926685</v>
      </c>
      <c r="C15" s="2">
        <v>153.96629999999999</v>
      </c>
      <c r="D15" s="2">
        <v>50.28</v>
      </c>
      <c r="E15">
        <v>10</v>
      </c>
      <c r="F15" t="s">
        <v>6</v>
      </c>
      <c r="H15">
        <v>3</v>
      </c>
      <c r="I15">
        <f>AVERAGE(D37:D39)</f>
        <v>70.23</v>
      </c>
      <c r="K15">
        <f>AVERAGE(C37:C39)</f>
        <v>106.18329999999999</v>
      </c>
    </row>
    <row r="16" spans="1:11" ht="15" thickBot="1" x14ac:dyDescent="0.35">
      <c r="A16" s="2">
        <v>3</v>
      </c>
      <c r="B16" s="2">
        <v>7926685</v>
      </c>
      <c r="C16" s="2">
        <v>152.899</v>
      </c>
      <c r="D16" s="2">
        <v>50.63</v>
      </c>
      <c r="E16">
        <v>10</v>
      </c>
      <c r="F16" t="s">
        <v>6</v>
      </c>
      <c r="G16">
        <f>AVERAGE(D2:D16)</f>
        <v>65.405333333333346</v>
      </c>
      <c r="H16">
        <v>5</v>
      </c>
      <c r="I16">
        <f>AVERAGE(D40:D42)</f>
        <v>58.47</v>
      </c>
      <c r="K16">
        <f>AVERAGE(C40:C42)</f>
        <v>128.33693333333335</v>
      </c>
    </row>
    <row r="17" spans="1:11" ht="15" thickBot="1" x14ac:dyDescent="0.35">
      <c r="A17" s="3"/>
      <c r="B17" s="3"/>
      <c r="C17" s="3"/>
      <c r="D17" s="3"/>
      <c r="E17" s="3"/>
      <c r="F17" s="3"/>
      <c r="H17">
        <v>7</v>
      </c>
      <c r="I17">
        <f>AVERAGE(D43:D45)</f>
        <v>71.026666666666657</v>
      </c>
      <c r="K17">
        <f>AVERAGE(C43:C45)</f>
        <v>105.04203333333334</v>
      </c>
    </row>
    <row r="18" spans="1:11" ht="15" thickBot="1" x14ac:dyDescent="0.35">
      <c r="A18" s="2">
        <v>1</v>
      </c>
      <c r="B18" s="2">
        <v>3369247</v>
      </c>
      <c r="C18" s="2">
        <v>28.3276</v>
      </c>
      <c r="D18" s="2">
        <v>116.15</v>
      </c>
      <c r="E18">
        <v>1</v>
      </c>
      <c r="F18" t="s">
        <v>7</v>
      </c>
      <c r="H18">
        <v>10</v>
      </c>
      <c r="I18">
        <f>AVERAGE(D46:D48)</f>
        <v>47.02</v>
      </c>
      <c r="K18">
        <f>AVERAGE(C46:C48)</f>
        <v>158.62706666666665</v>
      </c>
    </row>
    <row r="19" spans="1:11" ht="15" thickBot="1" x14ac:dyDescent="0.35">
      <c r="A19" s="2">
        <v>2</v>
      </c>
      <c r="B19" s="2">
        <v>3369247</v>
      </c>
      <c r="C19" s="2">
        <v>29.136900000000001</v>
      </c>
      <c r="D19" s="2">
        <v>112.92</v>
      </c>
      <c r="E19">
        <v>1</v>
      </c>
      <c r="F19" t="s">
        <v>7</v>
      </c>
      <c r="H19" s="3"/>
      <c r="I19" s="3"/>
      <c r="J19" s="3"/>
    </row>
    <row r="20" spans="1:11" ht="15" thickBot="1" x14ac:dyDescent="0.35">
      <c r="A20" s="2">
        <v>3</v>
      </c>
      <c r="B20" s="2">
        <v>3369247</v>
      </c>
      <c r="C20" s="2">
        <v>28.856200000000001</v>
      </c>
      <c r="D20" s="2">
        <v>114.02</v>
      </c>
      <c r="E20">
        <v>1</v>
      </c>
      <c r="F20" t="s">
        <v>7</v>
      </c>
      <c r="H20">
        <v>1</v>
      </c>
      <c r="I20">
        <f>AVERAGE(D50:D52)</f>
        <v>88.073333333333323</v>
      </c>
      <c r="J20" t="s">
        <v>9</v>
      </c>
      <c r="K20">
        <f>AVERAGE(C50:C52)</f>
        <v>49.32203333333333</v>
      </c>
    </row>
    <row r="21" spans="1:11" ht="15" thickBot="1" x14ac:dyDescent="0.35">
      <c r="A21" s="2">
        <v>1</v>
      </c>
      <c r="B21" s="2">
        <v>3369247</v>
      </c>
      <c r="C21" s="2">
        <v>45.396999999999998</v>
      </c>
      <c r="D21" s="2">
        <v>72.48</v>
      </c>
      <c r="E21">
        <v>3</v>
      </c>
      <c r="F21" t="s">
        <v>7</v>
      </c>
      <c r="H21">
        <v>3</v>
      </c>
      <c r="I21">
        <f>AVERAGE(D53:D55)</f>
        <v>71.22</v>
      </c>
      <c r="K21">
        <f>AVERAGE(C53:C55)</f>
        <v>61.01253333333333</v>
      </c>
    </row>
    <row r="22" spans="1:11" ht="15" thickBot="1" x14ac:dyDescent="0.35">
      <c r="A22" s="2">
        <v>2</v>
      </c>
      <c r="B22" s="2">
        <v>3369247</v>
      </c>
      <c r="C22" s="2">
        <v>49.099499999999999</v>
      </c>
      <c r="D22" s="2">
        <v>67.010000000000005</v>
      </c>
      <c r="E22">
        <v>3</v>
      </c>
      <c r="F22" t="s">
        <v>7</v>
      </c>
      <c r="H22">
        <v>5</v>
      </c>
      <c r="I22">
        <f>AVERAGE(D56:D58)</f>
        <v>46.26</v>
      </c>
      <c r="K22">
        <f>AVERAGE(C56:C58)</f>
        <v>94.051000000000002</v>
      </c>
    </row>
    <row r="23" spans="1:11" ht="15" thickBot="1" x14ac:dyDescent="0.35">
      <c r="A23" s="2">
        <v>3</v>
      </c>
      <c r="B23" s="2">
        <v>3369247</v>
      </c>
      <c r="C23" s="2">
        <v>45.048200000000001</v>
      </c>
      <c r="D23" s="2">
        <v>73.040000000000006</v>
      </c>
      <c r="E23">
        <v>3</v>
      </c>
      <c r="F23" t="s">
        <v>7</v>
      </c>
      <c r="H23">
        <v>7</v>
      </c>
      <c r="I23">
        <f>AVERAGE(D59:D61)</f>
        <v>76.813333333333333</v>
      </c>
      <c r="K23">
        <f>AVERAGE(C59:C61)</f>
        <v>56.546266666666668</v>
      </c>
    </row>
    <row r="24" spans="1:11" ht="15" thickBot="1" x14ac:dyDescent="0.35">
      <c r="A24" s="2">
        <v>1</v>
      </c>
      <c r="B24" s="2">
        <v>3369247</v>
      </c>
      <c r="C24" s="2">
        <v>56.920499999999997</v>
      </c>
      <c r="D24" s="2">
        <v>57.8</v>
      </c>
      <c r="E24">
        <v>5</v>
      </c>
      <c r="F24" t="s">
        <v>7</v>
      </c>
      <c r="H24">
        <v>10</v>
      </c>
      <c r="I24">
        <f>AVERAGE(D62:D64)</f>
        <v>46.933333333333337</v>
      </c>
      <c r="K24">
        <f>AVERAGE(C62:C64)</f>
        <v>92.727100000000007</v>
      </c>
    </row>
    <row r="25" spans="1:11" ht="15" thickBot="1" x14ac:dyDescent="0.35">
      <c r="A25" s="2">
        <v>2</v>
      </c>
      <c r="B25" s="2">
        <v>3369247</v>
      </c>
      <c r="C25" s="2">
        <v>46.59</v>
      </c>
      <c r="D25" s="2">
        <v>70.62</v>
      </c>
      <c r="E25">
        <v>5</v>
      </c>
      <c r="F25" t="s">
        <v>7</v>
      </c>
    </row>
    <row r="26" spans="1:11" ht="15" thickBot="1" x14ac:dyDescent="0.35">
      <c r="A26" s="2">
        <v>3</v>
      </c>
      <c r="B26" s="2">
        <v>3369247</v>
      </c>
      <c r="C26" s="2">
        <v>59.277999999999999</v>
      </c>
      <c r="D26" s="2">
        <v>55.51</v>
      </c>
      <c r="E26">
        <v>5</v>
      </c>
      <c r="F26" t="s">
        <v>7</v>
      </c>
    </row>
    <row r="27" spans="1:11" ht="15" thickBot="1" x14ac:dyDescent="0.35">
      <c r="A27" s="2">
        <v>1</v>
      </c>
      <c r="B27" s="2">
        <v>3369247</v>
      </c>
      <c r="C27" s="2">
        <v>42.489600000000003</v>
      </c>
      <c r="D27" s="2">
        <v>77.44</v>
      </c>
      <c r="E27">
        <v>7</v>
      </c>
      <c r="F27" t="s">
        <v>7</v>
      </c>
    </row>
    <row r="28" spans="1:11" ht="15" thickBot="1" x14ac:dyDescent="0.35">
      <c r="A28" s="2">
        <v>2</v>
      </c>
      <c r="B28" s="2">
        <v>3369247</v>
      </c>
      <c r="C28" s="2">
        <v>43.729199999999999</v>
      </c>
      <c r="D28" s="2">
        <v>75.239999999999995</v>
      </c>
      <c r="E28">
        <v>7</v>
      </c>
      <c r="F28" t="s">
        <v>7</v>
      </c>
    </row>
    <row r="29" spans="1:11" ht="15" thickBot="1" x14ac:dyDescent="0.35">
      <c r="A29" s="2">
        <v>3</v>
      </c>
      <c r="B29" s="2">
        <v>3369247</v>
      </c>
      <c r="C29" s="2">
        <v>50.133200000000002</v>
      </c>
      <c r="D29" s="2">
        <v>65.63</v>
      </c>
      <c r="E29">
        <v>7</v>
      </c>
      <c r="F29" t="s">
        <v>7</v>
      </c>
    </row>
    <row r="30" spans="1:11" ht="15" thickBot="1" x14ac:dyDescent="0.35">
      <c r="A30" s="2">
        <v>1</v>
      </c>
      <c r="B30" s="2">
        <v>3369247</v>
      </c>
      <c r="C30" s="2">
        <v>61.5214</v>
      </c>
      <c r="D30" s="2">
        <v>53.48</v>
      </c>
      <c r="E30">
        <v>10</v>
      </c>
      <c r="F30" t="s">
        <v>7</v>
      </c>
    </row>
    <row r="31" spans="1:11" ht="15" thickBot="1" x14ac:dyDescent="0.35">
      <c r="A31" s="2">
        <v>2</v>
      </c>
      <c r="B31" s="2">
        <v>3369247</v>
      </c>
      <c r="C31" s="2">
        <v>71.012</v>
      </c>
      <c r="D31" s="2">
        <v>46.33</v>
      </c>
      <c r="E31">
        <v>10</v>
      </c>
      <c r="F31" t="s">
        <v>7</v>
      </c>
    </row>
    <row r="32" spans="1:11" ht="15" thickBot="1" x14ac:dyDescent="0.35">
      <c r="A32" s="2">
        <v>3</v>
      </c>
      <c r="B32" s="2">
        <v>3369247</v>
      </c>
      <c r="C32" s="2">
        <v>68.631100000000004</v>
      </c>
      <c r="D32" s="2">
        <v>47.94</v>
      </c>
      <c r="E32">
        <v>10</v>
      </c>
      <c r="F32" t="s">
        <v>7</v>
      </c>
      <c r="G32">
        <f>AVERAGE(D18:D32)</f>
        <v>73.707333333333338</v>
      </c>
    </row>
    <row r="33" spans="1:7" ht="15" thickBot="1" x14ac:dyDescent="0.35">
      <c r="A33" s="3"/>
      <c r="B33" s="3"/>
      <c r="C33" s="3"/>
      <c r="D33" s="3"/>
      <c r="E33" s="3"/>
      <c r="F33" s="3"/>
    </row>
    <row r="34" spans="1:7" ht="15" thickBot="1" x14ac:dyDescent="0.35">
      <c r="A34" s="2">
        <v>1</v>
      </c>
      <c r="B34" s="2">
        <v>7622365</v>
      </c>
      <c r="C34" s="2">
        <v>85.532700000000006</v>
      </c>
      <c r="D34" s="2">
        <v>87.03</v>
      </c>
      <c r="E34">
        <v>1</v>
      </c>
      <c r="F34" t="s">
        <v>8</v>
      </c>
    </row>
    <row r="35" spans="1:7" ht="15" thickBot="1" x14ac:dyDescent="0.35">
      <c r="A35" s="2">
        <v>2</v>
      </c>
      <c r="B35" s="2">
        <v>7622365</v>
      </c>
      <c r="C35" s="2">
        <v>84.894400000000005</v>
      </c>
      <c r="D35" s="2">
        <v>87.68</v>
      </c>
      <c r="E35">
        <v>1</v>
      </c>
      <c r="F35" t="s">
        <v>8</v>
      </c>
    </row>
    <row r="36" spans="1:7" ht="15" thickBot="1" x14ac:dyDescent="0.35">
      <c r="A36" s="2">
        <v>3</v>
      </c>
      <c r="B36" s="2">
        <v>7622365</v>
      </c>
      <c r="C36" s="2">
        <v>82.357900000000001</v>
      </c>
      <c r="D36" s="2">
        <v>90.38</v>
      </c>
      <c r="E36">
        <v>1</v>
      </c>
      <c r="F36" t="s">
        <v>8</v>
      </c>
    </row>
    <row r="37" spans="1:7" ht="15" thickBot="1" x14ac:dyDescent="0.35">
      <c r="A37" s="2">
        <v>1</v>
      </c>
      <c r="B37" s="2">
        <v>7622365</v>
      </c>
      <c r="C37" s="2">
        <v>106.63500000000001</v>
      </c>
      <c r="D37" s="2">
        <v>69.81</v>
      </c>
      <c r="E37">
        <v>3</v>
      </c>
      <c r="F37" t="s">
        <v>8</v>
      </c>
    </row>
    <row r="38" spans="1:7" ht="15" thickBot="1" x14ac:dyDescent="0.35">
      <c r="A38" s="2">
        <v>2</v>
      </c>
      <c r="B38" s="2">
        <v>7622365</v>
      </c>
      <c r="C38" s="2">
        <v>100.50239999999999</v>
      </c>
      <c r="D38" s="2">
        <v>74.069999999999993</v>
      </c>
      <c r="E38">
        <v>3</v>
      </c>
      <c r="F38" t="s">
        <v>8</v>
      </c>
    </row>
    <row r="39" spans="1:7" ht="15" thickBot="1" x14ac:dyDescent="0.35">
      <c r="A39" s="2">
        <v>3</v>
      </c>
      <c r="B39" s="2">
        <v>7622365</v>
      </c>
      <c r="C39" s="2">
        <v>111.41249999999999</v>
      </c>
      <c r="D39" s="2">
        <v>66.81</v>
      </c>
      <c r="E39">
        <v>3</v>
      </c>
      <c r="F39" t="s">
        <v>8</v>
      </c>
    </row>
    <row r="40" spans="1:7" ht="15" thickBot="1" x14ac:dyDescent="0.35">
      <c r="A40" s="2">
        <v>1</v>
      </c>
      <c r="B40" s="2">
        <v>7622365</v>
      </c>
      <c r="C40" s="2">
        <v>113.34739999999999</v>
      </c>
      <c r="D40" s="2">
        <v>65.67</v>
      </c>
      <c r="E40">
        <v>5</v>
      </c>
      <c r="F40" t="s">
        <v>8</v>
      </c>
    </row>
    <row r="41" spans="1:7" ht="15" thickBot="1" x14ac:dyDescent="0.35">
      <c r="A41" s="2">
        <v>2</v>
      </c>
      <c r="B41" s="2">
        <v>7622365</v>
      </c>
      <c r="C41" s="2">
        <v>140.64340000000001</v>
      </c>
      <c r="D41" s="2">
        <v>52.93</v>
      </c>
      <c r="E41">
        <v>5</v>
      </c>
      <c r="F41" t="s">
        <v>8</v>
      </c>
    </row>
    <row r="42" spans="1:7" ht="15" thickBot="1" x14ac:dyDescent="0.35">
      <c r="A42" s="2">
        <v>3</v>
      </c>
      <c r="B42" s="2">
        <v>7622365</v>
      </c>
      <c r="C42" s="2">
        <v>131.02000000000001</v>
      </c>
      <c r="D42" s="2">
        <v>56.81</v>
      </c>
      <c r="E42">
        <v>5</v>
      </c>
      <c r="F42" t="s">
        <v>8</v>
      </c>
    </row>
    <row r="43" spans="1:7" ht="15" thickBot="1" x14ac:dyDescent="0.35">
      <c r="A43" s="2">
        <v>1</v>
      </c>
      <c r="B43" s="2">
        <v>7622365</v>
      </c>
      <c r="C43" s="2">
        <v>100.377</v>
      </c>
      <c r="D43" s="2">
        <v>74.16</v>
      </c>
      <c r="E43">
        <v>7</v>
      </c>
      <c r="F43" t="s">
        <v>8</v>
      </c>
    </row>
    <row r="44" spans="1:7" ht="15" thickBot="1" x14ac:dyDescent="0.35">
      <c r="A44" s="2">
        <v>2</v>
      </c>
      <c r="B44" s="2">
        <v>7622365</v>
      </c>
      <c r="C44" s="2">
        <v>102.6759</v>
      </c>
      <c r="D44" s="2">
        <v>72.5</v>
      </c>
      <c r="E44">
        <v>7</v>
      </c>
      <c r="F44" t="s">
        <v>8</v>
      </c>
    </row>
    <row r="45" spans="1:7" ht="15" thickBot="1" x14ac:dyDescent="0.35">
      <c r="A45" s="2">
        <v>3</v>
      </c>
      <c r="B45" s="2">
        <v>7622365</v>
      </c>
      <c r="C45" s="2">
        <v>112.0732</v>
      </c>
      <c r="D45" s="2">
        <v>66.42</v>
      </c>
      <c r="E45">
        <v>7</v>
      </c>
      <c r="F45" t="s">
        <v>8</v>
      </c>
    </row>
    <row r="46" spans="1:7" ht="15" thickBot="1" x14ac:dyDescent="0.35">
      <c r="A46" s="2">
        <v>1</v>
      </c>
      <c r="B46" s="2">
        <v>7622365</v>
      </c>
      <c r="C46" s="2">
        <v>166.2825</v>
      </c>
      <c r="D46" s="2">
        <v>44.77</v>
      </c>
      <c r="E46">
        <v>10</v>
      </c>
      <c r="F46" t="s">
        <v>8</v>
      </c>
    </row>
    <row r="47" spans="1:7" ht="15" thickBot="1" x14ac:dyDescent="0.35">
      <c r="A47" s="2">
        <v>2</v>
      </c>
      <c r="B47" s="2">
        <v>7622365</v>
      </c>
      <c r="C47" s="2">
        <v>160.15029999999999</v>
      </c>
      <c r="D47" s="2">
        <v>46.48</v>
      </c>
      <c r="E47">
        <v>10</v>
      </c>
      <c r="F47" t="s">
        <v>8</v>
      </c>
    </row>
    <row r="48" spans="1:7" ht="15" thickBot="1" x14ac:dyDescent="0.35">
      <c r="A48" s="2">
        <v>3</v>
      </c>
      <c r="B48" s="2">
        <v>7622365</v>
      </c>
      <c r="C48" s="2">
        <v>149.44839999999999</v>
      </c>
      <c r="D48" s="2">
        <v>49.81</v>
      </c>
      <c r="E48">
        <v>10</v>
      </c>
      <c r="F48" t="s">
        <v>8</v>
      </c>
      <c r="G48">
        <f>AVERAGE(D34:D48)</f>
        <v>67.021999999999991</v>
      </c>
    </row>
    <row r="49" spans="1:7" ht="15" thickBot="1" x14ac:dyDescent="0.35">
      <c r="A49" s="3"/>
      <c r="B49" s="3"/>
      <c r="C49" s="3"/>
      <c r="D49" s="3"/>
      <c r="E49" s="3"/>
      <c r="F49" s="3"/>
    </row>
    <row r="50" spans="1:7" ht="15" thickBot="1" x14ac:dyDescent="0.35">
      <c r="A50" s="2">
        <v>1</v>
      </c>
      <c r="B50" s="2">
        <v>4447488</v>
      </c>
      <c r="C50" s="2">
        <v>49.177300000000002</v>
      </c>
      <c r="D50" s="2">
        <v>88.32</v>
      </c>
      <c r="E50">
        <v>1</v>
      </c>
      <c r="F50" t="s">
        <v>9</v>
      </c>
    </row>
    <row r="51" spans="1:7" ht="15" thickBot="1" x14ac:dyDescent="0.35">
      <c r="A51" s="2">
        <v>2</v>
      </c>
      <c r="B51" s="2">
        <v>4447488</v>
      </c>
      <c r="C51" s="2">
        <v>48.653100000000002</v>
      </c>
      <c r="D51" s="2">
        <v>89.27</v>
      </c>
      <c r="E51">
        <v>1</v>
      </c>
      <c r="F51" t="s">
        <v>9</v>
      </c>
    </row>
    <row r="52" spans="1:7" ht="15" thickBot="1" x14ac:dyDescent="0.35">
      <c r="A52" s="2">
        <v>3</v>
      </c>
      <c r="B52" s="2">
        <v>4447488</v>
      </c>
      <c r="C52" s="2">
        <v>50.1357</v>
      </c>
      <c r="D52" s="2">
        <v>86.63</v>
      </c>
      <c r="E52">
        <v>1</v>
      </c>
      <c r="F52" t="s">
        <v>9</v>
      </c>
    </row>
    <row r="53" spans="1:7" ht="15" thickBot="1" x14ac:dyDescent="0.35">
      <c r="A53" s="2">
        <v>1</v>
      </c>
      <c r="B53" s="2">
        <v>4447488</v>
      </c>
      <c r="C53" s="2">
        <v>62.743099999999998</v>
      </c>
      <c r="D53" s="2">
        <v>69.22</v>
      </c>
      <c r="E53">
        <v>3</v>
      </c>
      <c r="F53" t="s">
        <v>9</v>
      </c>
    </row>
    <row r="54" spans="1:7" ht="15" thickBot="1" x14ac:dyDescent="0.35">
      <c r="A54" s="2">
        <v>2</v>
      </c>
      <c r="B54" s="2">
        <v>4447488</v>
      </c>
      <c r="C54" s="2">
        <v>59.311599999999999</v>
      </c>
      <c r="D54" s="2">
        <v>73.22</v>
      </c>
      <c r="E54">
        <v>3</v>
      </c>
      <c r="F54" t="s">
        <v>9</v>
      </c>
    </row>
    <row r="55" spans="1:7" ht="15" thickBot="1" x14ac:dyDescent="0.35">
      <c r="A55" s="2">
        <v>3</v>
      </c>
      <c r="B55" s="2">
        <v>4447488</v>
      </c>
      <c r="C55" s="2">
        <v>60.982900000000001</v>
      </c>
      <c r="D55" s="2">
        <v>71.22</v>
      </c>
      <c r="E55">
        <v>3</v>
      </c>
      <c r="F55" t="s">
        <v>9</v>
      </c>
    </row>
    <row r="56" spans="1:7" ht="15" thickBot="1" x14ac:dyDescent="0.35">
      <c r="A56" s="2">
        <v>1</v>
      </c>
      <c r="B56" s="2">
        <v>4447488</v>
      </c>
      <c r="C56" s="2">
        <v>99.487499999999997</v>
      </c>
      <c r="D56" s="2">
        <v>43.66</v>
      </c>
      <c r="E56">
        <v>5</v>
      </c>
      <c r="F56" t="s">
        <v>9</v>
      </c>
    </row>
    <row r="57" spans="1:7" ht="15" thickBot="1" x14ac:dyDescent="0.35">
      <c r="A57" s="2">
        <v>2</v>
      </c>
      <c r="B57" s="2">
        <v>4447488</v>
      </c>
      <c r="C57" s="2">
        <v>92.307699999999997</v>
      </c>
      <c r="D57" s="2">
        <v>47.05</v>
      </c>
      <c r="E57">
        <v>5</v>
      </c>
      <c r="F57" t="s">
        <v>9</v>
      </c>
    </row>
    <row r="58" spans="1:7" ht="15" thickBot="1" x14ac:dyDescent="0.35">
      <c r="A58" s="2">
        <v>3</v>
      </c>
      <c r="B58" s="2">
        <v>4447488</v>
      </c>
      <c r="C58" s="2">
        <v>90.357799999999997</v>
      </c>
      <c r="D58" s="2">
        <v>48.07</v>
      </c>
      <c r="E58">
        <v>5</v>
      </c>
      <c r="F58" t="s">
        <v>9</v>
      </c>
    </row>
    <row r="59" spans="1:7" ht="15" thickBot="1" x14ac:dyDescent="0.35">
      <c r="A59" s="2">
        <v>1</v>
      </c>
      <c r="B59" s="2">
        <v>4447488</v>
      </c>
      <c r="C59" s="2">
        <v>57.590400000000002</v>
      </c>
      <c r="D59" s="2">
        <v>75.040000000000006</v>
      </c>
      <c r="E59">
        <v>7</v>
      </c>
      <c r="F59" t="s">
        <v>9</v>
      </c>
    </row>
    <row r="60" spans="1:7" ht="15" thickBot="1" x14ac:dyDescent="0.35">
      <c r="A60" s="2">
        <v>2</v>
      </c>
      <c r="B60" s="2">
        <v>4447488</v>
      </c>
      <c r="C60" s="2">
        <v>58.656700000000001</v>
      </c>
      <c r="D60" s="2">
        <v>74.05</v>
      </c>
      <c r="E60">
        <v>7</v>
      </c>
      <c r="F60" t="s">
        <v>9</v>
      </c>
    </row>
    <row r="61" spans="1:7" ht="15" thickBot="1" x14ac:dyDescent="0.35">
      <c r="A61" s="2">
        <v>3</v>
      </c>
      <c r="B61" s="2">
        <v>4447488</v>
      </c>
      <c r="C61" s="2">
        <v>53.3917</v>
      </c>
      <c r="D61" s="2">
        <v>81.349999999999994</v>
      </c>
      <c r="E61">
        <v>7</v>
      </c>
      <c r="F61" t="s">
        <v>9</v>
      </c>
    </row>
    <row r="62" spans="1:7" ht="15" thickBot="1" x14ac:dyDescent="0.35">
      <c r="A62" s="2">
        <v>1</v>
      </c>
      <c r="B62" s="2">
        <v>4447488</v>
      </c>
      <c r="C62" s="2">
        <v>87.561700000000002</v>
      </c>
      <c r="D62" s="2">
        <v>49.6</v>
      </c>
      <c r="E62">
        <v>10</v>
      </c>
      <c r="F62" t="s">
        <v>9</v>
      </c>
    </row>
    <row r="63" spans="1:7" ht="15" thickBot="1" x14ac:dyDescent="0.35">
      <c r="A63" s="2">
        <v>2</v>
      </c>
      <c r="B63" s="2">
        <v>4447488</v>
      </c>
      <c r="C63" s="2">
        <v>92.809399999999997</v>
      </c>
      <c r="D63" s="2">
        <v>46.8</v>
      </c>
      <c r="E63">
        <v>10</v>
      </c>
      <c r="F63" t="s">
        <v>9</v>
      </c>
    </row>
    <row r="64" spans="1:7" ht="15" thickBot="1" x14ac:dyDescent="0.35">
      <c r="A64" s="2">
        <v>3</v>
      </c>
      <c r="B64" s="2">
        <v>4447488</v>
      </c>
      <c r="C64" s="2">
        <v>97.810199999999995</v>
      </c>
      <c r="D64" s="2">
        <v>44.4</v>
      </c>
      <c r="E64">
        <v>10</v>
      </c>
      <c r="F64" t="s">
        <v>9</v>
      </c>
      <c r="G64">
        <f>AVERAGE(D50:D64)</f>
        <v>65.859999999999985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 TALATA</dc:creator>
  <cp:lastModifiedBy>Saadi TALATA</cp:lastModifiedBy>
  <dcterms:created xsi:type="dcterms:W3CDTF">2025-11-24T22:50:37Z</dcterms:created>
  <dcterms:modified xsi:type="dcterms:W3CDTF">2025-12-11T22:22:23Z</dcterms:modified>
</cp:coreProperties>
</file>